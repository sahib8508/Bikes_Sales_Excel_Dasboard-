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Users\sahib\OneDrive\Desktop\Job Files\projects\Ev , Luxury or necessity\"/>
    </mc:Choice>
  </mc:AlternateContent>
  <xr:revisionPtr revIDLastSave="0" documentId="13_ncr:1_{C56B0773-3709-4D86-92A4-7B7C7A049C31}" xr6:coauthVersionLast="47" xr6:coauthVersionMax="47" xr10:uidLastSave="{00000000-0000-0000-0000-000000000000}"/>
  <bookViews>
    <workbookView xWindow="-120" yWindow="-120" windowWidth="20730" windowHeight="11760" tabRatio="627" activeTab="3" xr2:uid="{00000000-000D-0000-FFFF-FFFF00000000}"/>
  </bookViews>
  <sheets>
    <sheet name="Readme" sheetId="11" r:id="rId1"/>
    <sheet name="Raw_data" sheetId="4" r:id="rId2"/>
    <sheet name="Pivot_Tables" sheetId="5" r:id="rId3"/>
    <sheet name="Dashboards" sheetId="12" r:id="rId4"/>
    <sheet name="Insights" sheetId="7" r:id="rId5"/>
  </sheets>
  <definedNames>
    <definedName name="ExternalData_1" localSheetId="1" hidden="1">Raw_data!$A$1:$W$133</definedName>
    <definedName name="Slicer_Buyer_Type">#N/A</definedName>
    <definedName name="Slicer_Income_Category">#N/A</definedName>
    <definedName name="Slicer_Power_Status">#N/A</definedName>
    <definedName name="Slicer_State">#N/A</definedName>
    <definedName name="Slicer_Year">#N/A</definedName>
  </definedNames>
  <calcPr calcId="191029"/>
  <pivotCaches>
    <pivotCache cacheId="27"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1" i="5" l="1"/>
  <c r="E140" i="5"/>
  <c r="E139"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191" i="5"/>
  <c r="D206" i="5"/>
  <c r="D207" i="5"/>
  <c r="D208" i="5"/>
  <c r="D209" i="5"/>
  <c r="D210" i="5"/>
  <c r="D211" i="5"/>
  <c r="D212" i="5"/>
  <c r="D213" i="5"/>
  <c r="D214" i="5"/>
  <c r="D215" i="5"/>
  <c r="D216" i="5"/>
  <c r="D217" i="5"/>
  <c r="D218" i="5"/>
  <c r="D219" i="5"/>
  <c r="D220" i="5"/>
  <c r="D221" i="5"/>
  <c r="D222" i="5"/>
  <c r="D223" i="5"/>
  <c r="D192" i="5"/>
  <c r="D193" i="5"/>
  <c r="D194" i="5"/>
  <c r="D195" i="5"/>
  <c r="D196" i="5"/>
  <c r="D197" i="5"/>
  <c r="D198" i="5"/>
  <c r="D199" i="5"/>
  <c r="D200" i="5"/>
  <c r="D201" i="5"/>
  <c r="D202" i="5"/>
  <c r="D203" i="5"/>
  <c r="D204" i="5"/>
  <c r="D205" i="5"/>
  <c r="D191" i="5"/>
  <c r="C139" i="5"/>
  <c r="C140" i="5" s="1"/>
  <c r="C141" i="5" s="1"/>
  <c r="F11" i="7"/>
  <c r="F12" i="7"/>
  <c r="F13" i="7"/>
  <c r="F14" i="7"/>
  <c r="F15" i="7"/>
  <c r="F16" i="7"/>
  <c r="F17" i="7"/>
  <c r="F18" i="7"/>
  <c r="D9" i="7"/>
  <c r="D10" i="7" s="1"/>
  <c r="D11" i="7" s="1"/>
  <c r="D12" i="7" s="1"/>
  <c r="D13" i="7" s="1"/>
  <c r="D14" i="7" s="1"/>
  <c r="F19" i="7"/>
  <c r="F10" i="7"/>
  <c r="F9" i="7"/>
  <c r="F8" i="7"/>
  <c r="E138" i="5"/>
  <c r="D15" i="7" l="1"/>
  <c r="D16" i="7" s="1"/>
  <c r="D17" i="7" s="1"/>
  <c r="D18" i="7" s="1"/>
  <c r="D19"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8838C5-79C5-46D5-8BE0-DC13857866C0}" keepAlive="1" name="Query - electricity" description="Connection to the 'electricity' query in the workbook." type="5" refreshedVersion="0" background="1">
    <dbPr connection="Provider=Microsoft.Mashup.OleDb.1;Data Source=$Workbook$;Location=electricity;Extended Properties=&quot;&quot;" command="SELECT * FROM [electricity]"/>
  </connection>
  <connection id="2" xr16:uid="{55C735AB-E8F3-47B9-B437-5833CEC4BA03}" keepAlive="1" name="Query - EV_MASTER" description="Connection to the 'EV_MASTER' query in the workbook." type="5" refreshedVersion="8" background="1" saveData="1">
    <dbPr connection="Provider=Microsoft.Mashup.OleDb.1;Data Source=$Workbook$;Location=EV_MASTER;Extended Properties=&quot;&quot;" command="SELECT * FROM [EV_MASTER]"/>
  </connection>
  <connection id="3" xr16:uid="{F20CC06A-6421-45B2-9CBD-4AAC214A281F}" keepAlive="1" name="Query - Master_query" description="Connection to the 'Master_query' query in the workbook." type="5" refreshedVersion="8" background="1" saveData="1">
    <dbPr connection="Provider=Microsoft.Mashup.OleDb.1;Data Source=$Workbook$;Location=Master_query;Extended Properties=&quot;&quot;" command="SELECT * FROM [Master_query]"/>
  </connection>
  <connection id="4" xr16:uid="{E7FAE64A-D1AC-4331-B5DF-17E4427A5F8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15225747-0333-4818-AD14-099A110CEEBC}"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6" xr16:uid="{6B976861-D5DC-4B73-8083-9FB30B9FC1A5}" keepAlive="1" name="Query - pw_sheet" description="Connection to the 'pw_sheet' query in the workbook." type="5" refreshedVersion="0" background="1">
    <dbPr connection="Provider=Microsoft.Mashup.OleDb.1;Data Source=$Workbook$;Location=pw_sheet;Extended Properties=&quot;&quot;" command="SELECT * FROM [pw_sheet]"/>
  </connection>
  <connection id="7" xr16:uid="{5C077E44-9A15-4AB0-B914-647A65A4636D}"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A9B7BDB8-A1A0-4444-89DA-86392B6E63FF}"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9" xr16:uid="{B4FA686F-766E-46B5-81B5-4D3C27E43A4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0" xr16:uid="{82FC731A-B52A-4CE6-9D76-7FE151707655}"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1" xr16:uid="{6842AFF4-9B7C-494B-AB2B-C121783F619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535BB308-1D22-4831-8256-29140A25D8C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sharedStrings.xml><?xml version="1.0" encoding="utf-8"?>
<sst xmlns="http://schemas.openxmlformats.org/spreadsheetml/2006/main" count="856" uniqueCount="126">
  <si>
    <t>Year</t>
  </si>
  <si>
    <t>State</t>
  </si>
  <si>
    <t>2W EV Sales</t>
  </si>
  <si>
    <t>2W EV Penetration</t>
  </si>
  <si>
    <t>3W EV Sales</t>
  </si>
  <si>
    <t>3W EV Penetration</t>
  </si>
  <si>
    <t>4W EV Sales</t>
  </si>
  <si>
    <t>4W EV Penetration</t>
  </si>
  <si>
    <t>Bus EV Sales</t>
  </si>
  <si>
    <t>Bus EV Penetration</t>
  </si>
  <si>
    <t>Others EV Sales</t>
  </si>
  <si>
    <t>Others EV Penetration</t>
  </si>
  <si>
    <t>Peak Demand (MW)</t>
  </si>
  <si>
    <t>Peak Met (MW)</t>
  </si>
  <si>
    <t>Demand Not Met (MW)</t>
  </si>
  <si>
    <t>Demand Not Met (%)</t>
  </si>
  <si>
    <t>Per_Capita_Income</t>
  </si>
  <si>
    <t>Total_EV_Sales</t>
  </si>
  <si>
    <t>Ratio_3W_to_4W</t>
  </si>
  <si>
    <t>Buyer_Type</t>
  </si>
  <si>
    <t>Income_Category</t>
  </si>
  <si>
    <t>Power_Status</t>
  </si>
  <si>
    <t>2021</t>
  </si>
  <si>
    <t>Andaman &amp; Nicobar Island</t>
  </si>
  <si>
    <t>Luxury</t>
  </si>
  <si>
    <t>High</t>
  </si>
  <si>
    <t>High Risk</t>
  </si>
  <si>
    <t>Andhra Pradesh</t>
  </si>
  <si>
    <t>Mixed</t>
  </si>
  <si>
    <t>Middle</t>
  </si>
  <si>
    <t>Stable</t>
  </si>
  <si>
    <t>2022</t>
  </si>
  <si>
    <t>Arunachal Pradesh</t>
  </si>
  <si>
    <t>No Data</t>
  </si>
  <si>
    <t>2023</t>
  </si>
  <si>
    <t>Assam</t>
  </si>
  <si>
    <t>Necessity</t>
  </si>
  <si>
    <t>Low</t>
  </si>
  <si>
    <t>Moderate Risk</t>
  </si>
  <si>
    <t>2024</t>
  </si>
  <si>
    <t>Bihar</t>
  </si>
  <si>
    <t>Chandigarh</t>
  </si>
  <si>
    <t>Chhattisgarh</t>
  </si>
  <si>
    <t>Delhi</t>
  </si>
  <si>
    <t>Goa</t>
  </si>
  <si>
    <t>Gujarat</t>
  </si>
  <si>
    <t>Haryana</t>
  </si>
  <si>
    <t>Himachal Pradesh</t>
  </si>
  <si>
    <t>Jammu and Kashmir</t>
  </si>
  <si>
    <t>Jharkhand</t>
  </si>
  <si>
    <t>Karnataka</t>
  </si>
  <si>
    <t>Kerala</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</si>
  <si>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</si>
  <si>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</si>
  <si>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</si>
  <si>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</si>
  <si>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</si>
  <si>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</si>
  <si>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</si>
  <si>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</si>
  <si>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</si>
  <si>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</si>
  <si>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</si>
  <si>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</si>
  <si>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</si>
  <si>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</si>
  <si>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</si>
  <si>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</si>
  <si>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</si>
  <si>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EV_Readiness_Score</t>
  </si>
  <si>
    <t>Column Labels</t>
  </si>
  <si>
    <t>Grand Total</t>
  </si>
  <si>
    <t>Row Labels</t>
  </si>
  <si>
    <t>Sum of Total_EV_Sales</t>
  </si>
  <si>
    <t>Average of Ratio_3W_to_4W</t>
  </si>
  <si>
    <t>Count of Buyer_Type</t>
  </si>
  <si>
    <t xml:space="preserve">Metric </t>
  </si>
  <si>
    <t>Average of 4W sales ,with category as power-status "stable" and year 2024</t>
  </si>
  <si>
    <t>Average of 4W sales ,with category as power-status "High Risk" and year 2024</t>
  </si>
  <si>
    <t>Counting buyer type where buyer type is necessity in the year 2024</t>
  </si>
  <si>
    <t>Counting buyer type where buyer type is Luxury in the year 2024</t>
  </si>
  <si>
    <t>SUM of 3w in year 2024 where per capita income is less than 10000</t>
  </si>
  <si>
    <t xml:space="preserve">Highest per capita income value </t>
  </si>
  <si>
    <t>State with the highest per capita income value</t>
  </si>
  <si>
    <t>Formula and Result</t>
  </si>
  <si>
    <t>PIVOT TABLE 1</t>
  </si>
  <si>
    <t>PIVOT TABLE 2</t>
  </si>
  <si>
    <t>PIVOT TABLE 3</t>
  </si>
  <si>
    <t>PIVOT TABLE 4</t>
  </si>
  <si>
    <t>PIVOT TABLE 5</t>
  </si>
  <si>
    <t>PIVOT TABLE 6</t>
  </si>
  <si>
    <t>PIVOT TABLE 7</t>
  </si>
  <si>
    <t>Relation Between 3W EV SALES and per capita income</t>
  </si>
  <si>
    <t>Relation Between 4W EV Penetration With Electricity % Not met of each state</t>
  </si>
  <si>
    <t>Relation between EV Readiness and 4W EV Penetration</t>
  </si>
  <si>
    <t>Average of 4W sales, with High income category state in the year 2024</t>
  </si>
  <si>
    <t>Average of 4W sales, with low income category state in the year 2024</t>
  </si>
  <si>
    <t>S.NO</t>
  </si>
  <si>
    <t>DATA SOURCES:</t>
  </si>
  <si>
    <t>- EV Sales: Clean Mobility Shift (VAHAN portal) 2021-2024</t>
  </si>
  <si>
    <t>- Electricity: CEA General Review 2022-2025</t>
  </si>
  <si>
    <t>- Per Capita Income: RBI Handbook of Statistics 2024</t>
  </si>
  <si>
    <t xml:space="preserve">stronger barrier to EV adoption than income alone </t>
  </si>
  <si>
    <t>(CORREL -0.089)</t>
  </si>
  <si>
    <t>AVERAGEIFS, COUNTIFS, Conditional Formatting</t>
  </si>
  <si>
    <r>
      <rPr>
        <sz val="16"/>
        <color rgb="FFFF0000"/>
        <rFont val="Arial"/>
        <family val="2"/>
        <scheme val="minor"/>
      </rPr>
      <t>SCOPE</t>
    </r>
    <r>
      <rPr>
        <sz val="16"/>
        <color theme="1"/>
        <rFont val="Arial"/>
        <family val="2"/>
        <scheme val="minor"/>
      </rPr>
      <t>: 33 states and UTs, 4 financial years</t>
    </r>
  </si>
  <si>
    <r>
      <rPr>
        <sz val="16"/>
        <color rgb="FFFF0000"/>
        <rFont val="Arial"/>
        <family val="2"/>
        <scheme val="minor"/>
      </rPr>
      <t>KEY FINDING:</t>
    </r>
    <r>
      <rPr>
        <sz val="16"/>
        <color theme="1"/>
        <rFont val="Arial"/>
        <family val="2"/>
        <scheme val="minor"/>
      </rPr>
      <t xml:space="preserve"> Power grid stability (CORREL -0.38) is a </t>
    </r>
  </si>
  <si>
    <r>
      <rPr>
        <sz val="16"/>
        <color rgb="FFFF0000"/>
        <rFont val="Arial"/>
        <family val="2"/>
        <scheme val="minor"/>
      </rPr>
      <t>TOOLS USED</t>
    </r>
    <r>
      <rPr>
        <sz val="16"/>
        <color theme="1"/>
        <rFont val="Arial"/>
        <family val="2"/>
        <scheme val="minor"/>
      </rPr>
      <t xml:space="preserve">: Power Query, Pivot Tables, CORREL, </t>
    </r>
  </si>
  <si>
    <t>PROJECT: Is India's EV Push Real or Just Rich State Bias?</t>
  </si>
  <si>
    <r>
      <rPr>
        <b/>
        <sz val="16"/>
        <color rgb="FFFF0000"/>
        <rFont val="Arial"/>
        <family val="2"/>
        <scheme val="minor"/>
      </rPr>
      <t>OBJECTIVE</t>
    </r>
    <r>
      <rPr>
        <sz val="16"/>
        <color theme="1"/>
        <rFont val="Arial"/>
        <family val="2"/>
        <scheme val="minor"/>
      </rPr>
      <t>: Analyze whether EV adoption in India is driven by genuine consumer demand or limited to economically advantaged states with stable power infrastructure.</t>
    </r>
  </si>
  <si>
    <t>Description</t>
  </si>
  <si>
    <t>S.No.</t>
  </si>
  <si>
    <t>Values using Formula</t>
  </si>
  <si>
    <t xml:space="preserve">Total EV Sales </t>
  </si>
  <si>
    <t>PIVOT TABLE 8</t>
  </si>
  <si>
    <t>(All)</t>
  </si>
  <si>
    <t>Sum of 4W EV Sales</t>
  </si>
  <si>
    <t>Sum of 3W EV Sales</t>
  </si>
  <si>
    <t>Avg Per Capita Income</t>
  </si>
  <si>
    <t>Avg 4W EV Penetration</t>
  </si>
  <si>
    <t>Growth of 4W Evs from 2021 to 2024</t>
  </si>
  <si>
    <t>High risk power source EV Sales / Total EV Sales</t>
  </si>
  <si>
    <t>Difference between the max EV readiness and Min EV readiness State</t>
  </si>
  <si>
    <t xml:space="preserve"> TABLE FOR SCATTER PLOT</t>
  </si>
  <si>
    <t>TABLE FOR SIDE PANEL VALUES</t>
  </si>
  <si>
    <t xml:space="preserve">     INSIGHTS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</si>
</sst>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Arial"/>
      <family val="2"/>
      <scheme val="minor"/>
    </font>
    <font>
      <b/>
      <sz val="12"/>
      <color theme="1"/>
      <name val="Arial"/>
      <family val="2"/>
      <scheme val="minor"/>
    </font>
    <font>
      <b/>
      <sz val="11"/>
      <color theme="0"/>
      <name val="Arial"/>
      <family val="2"/>
      <scheme val="minor"/>
    </font>
    <font>
      <b/>
      <sz val="11"/>
      <color theme="1"/>
      <name val="Arial"/>
      <family val="2"/>
      <scheme val="minor"/>
    </font>
    <font>
      <sz val="8"/>
      <name val="Arial"/>
      <family val="2"/>
      <scheme val="minor"/>
    </font>
    <font>
      <sz val="12"/>
      <color theme="1"/>
      <name val="Arial"/>
      <family val="2"/>
      <scheme val="minor"/>
    </font>
    <font>
      <sz val="16"/>
      <color theme="1"/>
      <name val="Arial"/>
      <family val="2"/>
      <scheme val="minor"/>
    </font>
    <font>
      <sz val="22"/>
      <color theme="1"/>
      <name val="Arial"/>
      <family val="2"/>
      <scheme val="minor"/>
    </font>
    <font>
      <b/>
      <sz val="24"/>
      <color theme="0"/>
      <name val="Arial"/>
      <family val="2"/>
      <scheme val="minor"/>
    </font>
    <font>
      <b/>
      <sz val="26"/>
      <color theme="1"/>
      <name val="Arial"/>
      <family val="2"/>
      <scheme val="minor"/>
    </font>
    <font>
      <b/>
      <sz val="36"/>
      <color theme="0"/>
      <name val="Arial"/>
      <family val="2"/>
      <scheme val="minor"/>
    </font>
    <font>
      <sz val="16"/>
      <color rgb="FFFF0000"/>
      <name val="Arial"/>
      <family val="2"/>
      <scheme val="minor"/>
    </font>
    <font>
      <b/>
      <sz val="16"/>
      <color rgb="FFFF0000"/>
      <name val="Arial"/>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0" fillId="0" borderId="0" xfId="0" pivotButton="1"/>
    <xf numFmtId="0" fontId="0" fillId="0" borderId="0" xfId="0" applyAlignment="1">
      <alignment horizontal="left"/>
    </xf>
    <xf numFmtId="10" fontId="1" fillId="0" borderId="0" xfId="0" applyNumberFormat="1" applyFont="1"/>
    <xf numFmtId="10" fontId="0" fillId="0" borderId="0" xfId="0" applyNumberFormat="1"/>
    <xf numFmtId="0" fontId="0" fillId="0" borderId="0" xfId="0" applyAlignment="1">
      <alignment wrapText="1"/>
    </xf>
    <xf numFmtId="0" fontId="5" fillId="0" borderId="0" xfId="0" applyFont="1"/>
    <xf numFmtId="0" fontId="0" fillId="0" borderId="0" xfId="0" applyAlignment="1">
      <alignment horizontal="right"/>
    </xf>
    <xf numFmtId="0" fontId="8" fillId="2" borderId="0" xfId="0" applyFont="1" applyFill="1" applyAlignment="1">
      <alignment horizontal="center"/>
    </xf>
    <xf numFmtId="0" fontId="2" fillId="2" borderId="0" xfId="0" applyFont="1" applyFill="1" applyAlignment="1">
      <alignment horizontal="center"/>
    </xf>
    <xf numFmtId="0" fontId="3" fillId="0" borderId="0" xfId="0" applyFont="1" applyAlignment="1">
      <alignment horizontal="right"/>
    </xf>
    <xf numFmtId="0" fontId="7" fillId="0" borderId="0" xfId="0" applyFont="1"/>
    <xf numFmtId="0" fontId="6" fillId="0" borderId="0" xfId="0" applyFont="1"/>
    <xf numFmtId="0" fontId="11" fillId="0" borderId="0" xfId="0" applyFont="1"/>
    <xf numFmtId="0" fontId="6" fillId="0" borderId="0" xfId="0" applyFont="1" applyAlignment="1">
      <alignment wrapText="1"/>
    </xf>
    <xf numFmtId="0" fontId="9" fillId="0" borderId="0" xfId="0" applyFont="1" applyAlignment="1">
      <alignment horizontal="left"/>
    </xf>
    <xf numFmtId="0" fontId="8" fillId="3" borderId="0" xfId="0" applyFont="1" applyFill="1" applyAlignment="1">
      <alignment horizontal="center"/>
    </xf>
    <xf numFmtId="0" fontId="2" fillId="3" borderId="0" xfId="0" applyFont="1" applyFill="1" applyAlignment="1">
      <alignment horizontal="center"/>
    </xf>
    <xf numFmtId="0" fontId="8" fillId="2" borderId="0" xfId="0" applyFont="1" applyFill="1" applyAlignment="1">
      <alignment horizontal="center"/>
    </xf>
    <xf numFmtId="0" fontId="2" fillId="2" borderId="0" xfId="0" applyFont="1" applyFill="1" applyAlignment="1">
      <alignment horizontal="center"/>
    </xf>
    <xf numFmtId="0" fontId="10" fillId="3" borderId="0" xfId="0" applyFont="1" applyFill="1" applyAlignment="1">
      <alignment horizontal="left" vertical="top"/>
    </xf>
    <xf numFmtId="0" fontId="0" fillId="0" borderId="0" xfId="0" applyNumberFormat="1"/>
    <xf numFmtId="0" fontId="3" fillId="0" borderId="0" xfId="0" applyFont="1"/>
    <xf numFmtId="0" fontId="0" fillId="0" borderId="0" xfId="0" applyFill="1"/>
    <xf numFmtId="0" fontId="8" fillId="0" borderId="0" xfId="0" applyFont="1" applyFill="1" applyAlignment="1"/>
    <xf numFmtId="0" fontId="2" fillId="0" borderId="0" xfId="0" applyFont="1" applyFill="1" applyAlignment="1"/>
    <xf numFmtId="0" fontId="3" fillId="0" borderId="0" xfId="0" applyFont="1" applyFill="1" applyAlignment="1">
      <alignment vertical="center"/>
    </xf>
  </cellXfs>
  <cellStyles count="1">
    <cellStyle name="Normal" xfId="0" builtinId="0"/>
  </cellStyles>
  <dxfs count="12">
    <dxf>
      <numFmt numFmtId="14" formatCode="0.00%"/>
    </dxf>
    <dxf>
      <numFmt numFmtId="14" formatCode="0.00%"/>
    </dxf>
    <dxf>
      <numFmt numFmtId="14" formatCode="0.00%"/>
    </dxf>
    <dxf>
      <numFmt numFmtId="14" formatCode="0.00%"/>
    </dxf>
    <dxf>
      <numFmt numFmtId="14" formatCode="0.00%"/>
    </dxf>
    <dxf>
      <numFmt numFmtId="14" formatCode="0.00%"/>
    </dxf>
    <dxf>
      <font>
        <b/>
        <strike val="0"/>
        <outline val="0"/>
        <shadow val="0"/>
        <u val="none"/>
        <vertAlign val="baseline"/>
        <sz val="11"/>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none">
          <fgColor indexed="64"/>
          <bgColor indexed="65"/>
        </patternFill>
      </fill>
    </dxf>
    <dxf>
      <font>
        <strike val="0"/>
        <outline val="0"/>
        <shadow val="0"/>
        <u val="none"/>
        <vertAlign val="baseline"/>
        <sz val="22"/>
        <color theme="1"/>
        <name val="Arial"/>
        <family val="2"/>
        <scheme val="minor"/>
      </font>
    </dxf>
    <dxf>
      <numFmt numFmtId="0" formatCode="General"/>
    </dxf>
    <dxf>
      <numFmt numFmtId="0" formatCode="General"/>
    </dxf>
    <dxf>
      <font>
        <b/>
        <strike val="0"/>
        <outline val="0"/>
        <shadow val="0"/>
        <u val="none"/>
        <vertAlign val="baseline"/>
        <sz val="12"/>
        <color theme="1"/>
        <name val="Arial"/>
        <family val="2"/>
        <scheme val="minor"/>
      </font>
    </dxf>
  </dxfs>
  <tableStyles count="1" defaultTableStyle="TableStyleMedium2" defaultPivotStyle="PivotStyleLight22">
    <tableStyle name="Slicer Style 1" pivot="0" table="0" count="0" xr9:uid="{BF3C5EE4-5AFC-4554-A44B-D8858D53FBAF}"/>
  </tableStyles>
  <colors>
    <mruColors>
      <color rgb="FFEFEF03"/>
      <color rgb="FF8AE28A"/>
      <color rgb="FF97D5FF"/>
      <color rgb="FFF5F5F5"/>
      <color rgb="FFF3F3F3"/>
      <color rgb="FFF7F7F7"/>
      <color rgb="FFF0F0F0"/>
      <color rgb="FFFFF7F7"/>
      <color rgb="FFFFFFFF"/>
      <color rgb="FFEFFD6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[actual project.xlsx]Pivot_Tables!EV Sales by Electricity Debt Category</c:name>
    <c:fmtId val="49"/>
  </c:pivotSource>
  <c:chart>
    <c:title>
      <c:tx>
        <c:rich>
          <a:bodyPr rot="0" spcFirstLastPara="1" vertOverflow="ellipsis" vert="horz" wrap="square" anchor="ctr" anchorCtr="1"/>
          <a:lstStyle/>
          <a:p>
            <a:pPr algn="ctr">
              <a:defRPr sz="1400" b="1" i="0" u="none" strike="noStrike" kern="1200" spc="0" baseline="0">
                <a:solidFill>
                  <a:sysClr val="windowText" lastClr="000000"/>
                </a:solidFill>
                <a:latin typeface="+mj-lt"/>
                <a:ea typeface="+mn-ea"/>
                <a:cs typeface="+mn-cs"/>
              </a:defRPr>
            </a:pPr>
            <a:r>
              <a:rPr lang="en-US" sz="1400" b="1"/>
              <a:t>Total EV Sales by Electricity Supply</a:t>
            </a:r>
            <a:r>
              <a:rPr lang="en-US" sz="1400" b="1" baseline="0"/>
              <a:t> Risk</a:t>
            </a:r>
            <a:r>
              <a:rPr lang="en-US" sz="1400" b="1"/>
              <a:t> </a:t>
            </a:r>
          </a:p>
        </c:rich>
      </c:tx>
      <c:layout>
        <c:manualLayout>
          <c:xMode val="edge"/>
          <c:yMode val="edge"/>
          <c:x val="0.21058194009886749"/>
          <c:y val="6.3357924539262159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ysClr val="windowText" lastClr="000000"/>
              </a:solidFill>
              <a:latin typeface="+mj-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0.20419669413262598"/>
          <c:y val="0.24946446329203148"/>
          <c:w val="0.76788503186820012"/>
          <c:h val="0.55073293646809773"/>
        </c:manualLayout>
      </c:layout>
      <c:barChart>
        <c:barDir val="col"/>
        <c:grouping val="clustered"/>
        <c:varyColors val="0"/>
        <c:ser>
          <c:idx val="0"/>
          <c:order val="0"/>
          <c:tx>
            <c:strRef>
              <c:f>Pivot_Tables!$E$69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Pivot_Tables!$D$70:$D$73</c:f>
              <c:strCache>
                <c:ptCount val="3"/>
                <c:pt idx="0">
                  <c:v>High Risk</c:v>
                </c:pt>
                <c:pt idx="1">
                  <c:v>Moderate Risk</c:v>
                </c:pt>
                <c:pt idx="2">
                  <c:v>Stable</c:v>
                </c:pt>
              </c:strCache>
            </c:strRef>
          </c:cat>
          <c:val>
            <c:numRef>
              <c:f>Pivot_Tables!$E$70:$E$73</c:f>
              <c:numCache>
                <c:formatCode>General</c:formatCode>
                <c:ptCount val="3"/>
                <c:pt idx="0">
                  <c:v>722356</c:v>
                </c:pt>
                <c:pt idx="1">
                  <c:v>1775448</c:v>
                </c:pt>
                <c:pt idx="2">
                  <c:v>1564768</c:v>
                </c:pt>
              </c:numCache>
            </c:numRef>
          </c:val>
          <c:extLst>
            <c:ext xmlns:c16="http://schemas.microsoft.com/office/drawing/2014/chart" uri="{C3380CC4-5D6E-409C-BE32-E72D297353CC}">
              <c16:uniqueId val="{00000000-7A82-4653-BB2B-3DBAF0FF3C79}"/>
            </c:ext>
          </c:extLst>
        </c:ser>
        <c:dLbls>
          <c:dLblPos val="outEnd"/>
          <c:showLegendKey val="0"/>
          <c:showVal val="1"/>
          <c:showCatName val="0"/>
          <c:showSerName val="0"/>
          <c:showPercent val="0"/>
          <c:showBubbleSize val="0"/>
        </c:dLbls>
        <c:gapWidth val="182"/>
        <c:axId val="376429599"/>
        <c:axId val="319189023"/>
      </c:barChart>
      <c:catAx>
        <c:axId val="376429599"/>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r>
                  <a:rPr lang="en-US" b="1"/>
                  <a:t>Category of Electricity Shortage</a:t>
                </a:r>
              </a:p>
            </c:rich>
          </c:tx>
          <c:layout>
            <c:manualLayout>
              <c:xMode val="edge"/>
              <c:yMode val="edge"/>
              <c:x val="0.28166001217852266"/>
              <c:y val="0.90214499751907584"/>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j-lt"/>
                <a:ea typeface="+mn-ea"/>
                <a:cs typeface="+mn-cs"/>
              </a:defRPr>
            </a:pPr>
            <a:endParaRPr lang="en-US"/>
          </a:p>
        </c:txPr>
        <c:crossAx val="319189023"/>
        <c:crosses val="autoZero"/>
        <c:auto val="1"/>
        <c:lblAlgn val="ctr"/>
        <c:lblOffset val="100"/>
        <c:noMultiLvlLbl val="0"/>
      </c:catAx>
      <c:valAx>
        <c:axId val="31918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r>
                  <a:rPr lang="en-US" b="1"/>
                  <a:t>EV Sales</a:t>
                </a:r>
              </a:p>
            </c:rich>
          </c:tx>
          <c:layout>
            <c:manualLayout>
              <c:xMode val="edge"/>
              <c:yMode val="edge"/>
              <c:x val="2.2842224181142234E-2"/>
              <c:y val="0.35043663025636768"/>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j-lt"/>
                <a:ea typeface="+mn-ea"/>
                <a:cs typeface="+mn-cs"/>
              </a:defRPr>
            </a:pPr>
            <a:endParaRPr lang="en-US"/>
          </a:p>
        </c:txPr>
        <c:crossAx val="37642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sz="1100">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[actual project.xlsx]Pivot_Tables!Total EV Sales By Income Category of States</c:name>
    <c:fmtId val="4"/>
  </c:pivotSource>
  <c:chart>
    <c:title>
      <c:tx>
        <c:rich>
          <a:bodyPr rot="0" spcFirstLastPara="1" vertOverflow="ellipsis" vert="horz" wrap="square" anchor="ctr" anchorCtr="1"/>
          <a:lstStyle/>
          <a:p>
            <a:pPr algn="r">
              <a:defRPr sz="1400" b="1" i="0" u="none" strike="noStrike" kern="1200" spc="0" baseline="0">
                <a:solidFill>
                  <a:sysClr val="windowText" lastClr="000000"/>
                </a:solidFill>
                <a:latin typeface="+mj-lt"/>
                <a:ea typeface="+mn-ea"/>
                <a:cs typeface="+mn-cs"/>
              </a:defRPr>
            </a:pPr>
            <a:r>
              <a:rPr lang="en-US" b="1"/>
              <a:t>Total EV Sales by Income Category of</a:t>
            </a:r>
            <a:r>
              <a:rPr lang="en-US" b="1" baseline="0"/>
              <a:t> </a:t>
            </a:r>
            <a:r>
              <a:rPr lang="en-US" b="1"/>
              <a:t>States</a:t>
            </a:r>
          </a:p>
        </c:rich>
      </c:tx>
      <c:layout>
        <c:manualLayout>
          <c:xMode val="edge"/>
          <c:yMode val="edge"/>
          <c:x val="0.12008405988264455"/>
          <c:y val="4.3800334279322839E-2"/>
        </c:manualLayout>
      </c:layout>
      <c:overlay val="0"/>
      <c:spPr>
        <a:noFill/>
        <a:ln>
          <a:noFill/>
        </a:ln>
        <a:effectLst/>
      </c:spPr>
      <c:txPr>
        <a:bodyPr rot="0" spcFirstLastPara="1" vertOverflow="ellipsis" vert="horz" wrap="square" anchor="ctr" anchorCtr="1"/>
        <a:lstStyle/>
        <a:p>
          <a:pPr algn="r">
            <a:defRPr sz="1400" b="1" i="0" u="none" strike="noStrike" kern="1200" spc="0" baseline="0">
              <a:solidFill>
                <a:sysClr val="windowText" lastClr="000000"/>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13742642158451798"/>
          <c:y val="0.19119578792533423"/>
          <c:w val="0.7975480434199691"/>
          <c:h val="0.60240446760664967"/>
        </c:manualLayout>
      </c:layout>
      <c:barChart>
        <c:barDir val="bar"/>
        <c:grouping val="stacked"/>
        <c:varyColors val="0"/>
        <c:ser>
          <c:idx val="0"/>
          <c:order val="0"/>
          <c:tx>
            <c:strRef>
              <c:f>Pivot_Tables!$E$123</c:f>
              <c:strCache>
                <c:ptCount val="1"/>
                <c:pt idx="0">
                  <c:v>Total</c:v>
                </c:pt>
              </c:strCache>
            </c:strRef>
          </c:tx>
          <c:spPr>
            <a:solidFill>
              <a:schemeClr val="accent1"/>
            </a:solidFill>
            <a:ln>
              <a:noFill/>
            </a:ln>
            <a:effectLst/>
          </c:spPr>
          <c:invertIfNegative val="0"/>
          <c:cat>
            <c:strRef>
              <c:f>Pivot_Tables!$D$124:$D$127</c:f>
              <c:strCache>
                <c:ptCount val="3"/>
                <c:pt idx="0">
                  <c:v>High</c:v>
                </c:pt>
                <c:pt idx="1">
                  <c:v>Middle</c:v>
                </c:pt>
                <c:pt idx="2">
                  <c:v>Low</c:v>
                </c:pt>
              </c:strCache>
            </c:strRef>
          </c:cat>
          <c:val>
            <c:numRef>
              <c:f>Pivot_Tables!$E$124:$E$127</c:f>
              <c:numCache>
                <c:formatCode>General</c:formatCode>
                <c:ptCount val="3"/>
                <c:pt idx="0">
                  <c:v>1939327</c:v>
                </c:pt>
                <c:pt idx="1">
                  <c:v>1108014</c:v>
                </c:pt>
                <c:pt idx="2">
                  <c:v>1015231</c:v>
                </c:pt>
              </c:numCache>
            </c:numRef>
          </c:val>
          <c:extLst>
            <c:ext xmlns:c16="http://schemas.microsoft.com/office/drawing/2014/chart" uri="{C3380CC4-5D6E-409C-BE32-E72D297353CC}">
              <c16:uniqueId val="{00000000-0CDB-460C-8E27-AB5535DC4495}"/>
            </c:ext>
          </c:extLst>
        </c:ser>
        <c:dLbls>
          <c:dLblPos val="ctr"/>
          <c:showLegendKey val="0"/>
          <c:showVal val="0"/>
          <c:showCatName val="0"/>
          <c:showSerName val="0"/>
          <c:showPercent val="0"/>
          <c:showBubbleSize val="0"/>
        </c:dLbls>
        <c:gapWidth val="150"/>
        <c:overlap val="100"/>
        <c:axId val="359167263"/>
        <c:axId val="1608586431"/>
      </c:barChart>
      <c:catAx>
        <c:axId val="359167263"/>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r>
                  <a:rPr lang="en-US" b="1"/>
                  <a:t>Income Category</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j-lt"/>
                <a:ea typeface="+mn-ea"/>
                <a:cs typeface="+mn-cs"/>
              </a:defRPr>
            </a:pPr>
            <a:endParaRPr lang="en-US"/>
          </a:p>
        </c:txPr>
        <c:crossAx val="1608586431"/>
        <c:crosses val="autoZero"/>
        <c:auto val="1"/>
        <c:lblAlgn val="ctr"/>
        <c:lblOffset val="100"/>
        <c:noMultiLvlLbl val="0"/>
      </c:catAx>
      <c:valAx>
        <c:axId val="16085864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r>
                  <a:rPr lang="en-US" b="1"/>
                  <a:t>Total EV Sales</a:t>
                </a:r>
              </a:p>
            </c:rich>
          </c:tx>
          <c:layout>
            <c:manualLayout>
              <c:xMode val="edge"/>
              <c:yMode val="edge"/>
              <c:x val="0.39161852663161861"/>
              <c:y val="0.8975167021107365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j-lt"/>
                <a:ea typeface="+mn-ea"/>
                <a:cs typeface="+mn-cs"/>
              </a:defRPr>
            </a:pPr>
            <a:endParaRPr lang="en-US"/>
          </a:p>
        </c:txPr>
        <c:crossAx val="35916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[actual project.xlsx]Pivot_Tables!Count of Buyer Type</c:name>
    <c:fmtId val="7"/>
  </c:pivotSource>
  <c:chart>
    <c:title>
      <c:tx>
        <c:rich>
          <a:bodyPr rot="0" vert="horz"/>
          <a:lstStyle/>
          <a:p>
            <a:pPr>
              <a:defRPr/>
            </a:pPr>
            <a:r>
              <a:rPr lang="en-US"/>
              <a:t>Count of Buyer Types Each Year</a:t>
            </a:r>
          </a:p>
        </c:rich>
      </c:tx>
      <c:layout>
        <c:manualLayout>
          <c:xMode val="edge"/>
          <c:yMode val="edge"/>
          <c:x val="0.1023315608017297"/>
          <c:y val="5.170174741050237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pivotFmt>
      <c:pivotFmt>
        <c:idx val="25"/>
        <c:spPr>
          <a:solidFill>
            <a:schemeClr val="accent3"/>
          </a:solidFill>
          <a:ln>
            <a:noFill/>
          </a:ln>
          <a:effectLst/>
        </c:spPr>
      </c:pivotFmt>
      <c:pivotFmt>
        <c:idx val="26"/>
        <c:spPr>
          <a:solidFill>
            <a:schemeClr val="accent5"/>
          </a:solidFill>
          <a:ln>
            <a:noFill/>
          </a:ln>
          <a:effectLst/>
        </c:spPr>
      </c:pivotFmt>
      <c:pivotFmt>
        <c:idx val="27"/>
        <c:spPr>
          <a:solidFill>
            <a:schemeClr val="accent1">
              <a:lumMod val="60000"/>
            </a:schemeClr>
          </a:solidFill>
          <a:ln>
            <a:noFill/>
          </a:ln>
          <a:effectLst/>
        </c:spPr>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3"/>
          </a:solidFill>
          <a:ln>
            <a:noFill/>
          </a:ln>
          <a:effectLst/>
        </c:spPr>
      </c:pivotFmt>
      <c:pivotFmt>
        <c:idx val="31"/>
        <c:spPr>
          <a:solidFill>
            <a:schemeClr val="accent5"/>
          </a:solidFill>
          <a:ln>
            <a:noFill/>
          </a:ln>
          <a:effectLst/>
        </c:spPr>
      </c:pivotFmt>
      <c:pivotFmt>
        <c:idx val="32"/>
        <c:spPr>
          <a:solidFill>
            <a:schemeClr val="accent1">
              <a:lumMod val="60000"/>
            </a:schemeClr>
          </a:solidFill>
          <a:ln>
            <a:noFill/>
          </a:ln>
          <a:effectLst/>
        </c:spPr>
      </c:pivotFmt>
      <c:pivotFmt>
        <c:idx val="3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pivotFmt>
      <c:pivotFmt>
        <c:idx val="35"/>
        <c:spPr>
          <a:solidFill>
            <a:schemeClr val="accent3"/>
          </a:solidFill>
          <a:ln>
            <a:noFill/>
          </a:ln>
          <a:effectLst/>
        </c:spPr>
      </c:pivotFmt>
      <c:pivotFmt>
        <c:idx val="36"/>
        <c:spPr>
          <a:solidFill>
            <a:schemeClr val="accent5"/>
          </a:solidFill>
          <a:ln>
            <a:noFill/>
          </a:ln>
          <a:effectLst/>
        </c:spPr>
      </c:pivotFmt>
      <c:pivotFmt>
        <c:idx val="37"/>
        <c:spPr>
          <a:solidFill>
            <a:schemeClr val="accent1">
              <a:lumMod val="60000"/>
            </a:schemeClr>
          </a:solidFill>
          <a:ln>
            <a:noFill/>
          </a:ln>
          <a:effectLst/>
        </c:spPr>
      </c:pivotFmt>
      <c:pivotFmt>
        <c:idx val="38"/>
        <c:marker>
          <c:symbol val="none"/>
        </c:marker>
        <c:dLbl>
          <c:idx val="0"/>
          <c:spPr>
            <a:noFill/>
            <a:ln>
              <a:noFill/>
            </a:ln>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pivotFmt>
      <c:pivotFmt>
        <c:idx val="40"/>
        <c:spPr>
          <a:solidFill>
            <a:schemeClr val="accent3"/>
          </a:solidFill>
          <a:ln>
            <a:noFill/>
          </a:ln>
          <a:effectLst/>
        </c:spPr>
      </c:pivotFmt>
      <c:pivotFmt>
        <c:idx val="41"/>
        <c:spPr>
          <a:solidFill>
            <a:schemeClr val="accent5"/>
          </a:solidFill>
          <a:ln>
            <a:noFill/>
          </a:ln>
          <a:effectLst/>
        </c:spPr>
      </c:pivotFmt>
      <c:pivotFmt>
        <c:idx val="42"/>
        <c:spPr>
          <a:solidFill>
            <a:schemeClr val="accent1">
              <a:lumMod val="60000"/>
            </a:schemeClr>
          </a:solidFill>
          <a:ln>
            <a:noFill/>
          </a:ln>
          <a:effectLst/>
        </c:spPr>
      </c:pivotFmt>
    </c:pivotFmts>
    <c:plotArea>
      <c:layout/>
      <c:doughnutChart>
        <c:varyColors val="1"/>
        <c:ser>
          <c:idx val="0"/>
          <c:order val="0"/>
          <c:tx>
            <c:strRef>
              <c:f>Pivot_Tables!$E$50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25-EF9A-4448-B541-EC3D2062CDCD}"/>
              </c:ext>
            </c:extLst>
          </c:dPt>
          <c:dPt>
            <c:idx val="1"/>
            <c:bubble3D val="0"/>
            <c:spPr>
              <a:solidFill>
                <a:schemeClr val="accent3"/>
              </a:solidFill>
              <a:ln>
                <a:noFill/>
              </a:ln>
              <a:effectLst/>
            </c:spPr>
            <c:extLst>
              <c:ext xmlns:c16="http://schemas.microsoft.com/office/drawing/2014/chart" uri="{C3380CC4-5D6E-409C-BE32-E72D297353CC}">
                <c16:uniqueId val="{00000027-EF9A-4448-B541-EC3D2062CDCD}"/>
              </c:ext>
            </c:extLst>
          </c:dPt>
          <c:dPt>
            <c:idx val="2"/>
            <c:bubble3D val="0"/>
            <c:spPr>
              <a:solidFill>
                <a:schemeClr val="accent5"/>
              </a:solidFill>
              <a:ln>
                <a:noFill/>
              </a:ln>
              <a:effectLst/>
            </c:spPr>
            <c:extLst>
              <c:ext xmlns:c16="http://schemas.microsoft.com/office/drawing/2014/chart" uri="{C3380CC4-5D6E-409C-BE32-E72D297353CC}">
                <c16:uniqueId val="{00000029-EF9A-4448-B541-EC3D2062CDCD}"/>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2B-EF9A-4448-B541-EC3D2062CDCD}"/>
              </c:ext>
            </c:extLst>
          </c:dPt>
          <c:dLbls>
            <c:spPr>
              <a:noFill/>
              <a:ln>
                <a:noFill/>
              </a:ln>
              <a:effectLst/>
            </c:spPr>
            <c:txPr>
              <a:bodyPr rot="0" vert="horz"/>
              <a:lstStyle/>
              <a:p>
                <a:pPr>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Pivot_Tables!$D$51:$D$55</c:f>
              <c:strCache>
                <c:ptCount val="4"/>
                <c:pt idx="0">
                  <c:v>Luxury</c:v>
                </c:pt>
                <c:pt idx="1">
                  <c:v>Mixed</c:v>
                </c:pt>
                <c:pt idx="2">
                  <c:v>Necessity</c:v>
                </c:pt>
                <c:pt idx="3">
                  <c:v>No Data</c:v>
                </c:pt>
              </c:strCache>
            </c:strRef>
          </c:cat>
          <c:val>
            <c:numRef>
              <c:f>Pivot_Tables!$E$51:$E$55</c:f>
              <c:numCache>
                <c:formatCode>General</c:formatCode>
                <c:ptCount val="4"/>
                <c:pt idx="0">
                  <c:v>53</c:v>
                </c:pt>
                <c:pt idx="1">
                  <c:v>11</c:v>
                </c:pt>
                <c:pt idx="2">
                  <c:v>54</c:v>
                </c:pt>
                <c:pt idx="3">
                  <c:v>14</c:v>
                </c:pt>
              </c:numCache>
            </c:numRef>
          </c:val>
          <c:extLst>
            <c:ext xmlns:c16="http://schemas.microsoft.com/office/drawing/2014/chart" uri="{C3380CC4-5D6E-409C-BE32-E72D297353CC}">
              <c16:uniqueId val="{0000002C-EF9A-4448-B541-EC3D2062CDCD}"/>
            </c:ext>
          </c:extLst>
        </c:ser>
        <c:dLbls>
          <c:showLegendKey val="0"/>
          <c:showVal val="0"/>
          <c:showCatName val="0"/>
          <c:showSerName val="0"/>
          <c:showPercent val="0"/>
          <c:showBubbleSize val="0"/>
          <c:showLeaderLines val="1"/>
        </c:dLbls>
        <c:firstSliceAng val="0"/>
        <c:holeSize val="50"/>
      </c:doughnutChart>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solidFill>
        <a:schemeClr val="tx1">
          <a:lumMod val="50000"/>
          <a:lumOff val="50000"/>
        </a:schemeClr>
      </a:solidFill>
      <a:round/>
    </a:ln>
    <a:effectLst/>
  </c:spPr>
  <c:txPr>
    <a:bodyPr/>
    <a:lstStyle/>
    <a:p>
      <a:pPr>
        <a:defRPr sz="1100">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[actual project.xlsx]Pivot_Tables!Top 5 EV Sales States</c:name>
    <c:fmtId val="63"/>
  </c:pivotSource>
  <c:chart>
    <c:title>
      <c:tx>
        <c:rich>
          <a:bodyPr rot="0" vert="horz"/>
          <a:lstStyle/>
          <a:p>
            <a:pPr>
              <a:defRPr sz="1400"/>
            </a:pPr>
            <a:r>
              <a:rPr lang="en-US" sz="1400"/>
              <a:t>Top 5 most selling EV states </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6"/>
      </c:pivotFmt>
      <c:pivotFmt>
        <c:idx val="37"/>
      </c:pivotFmt>
      <c:pivotFmt>
        <c:idx val="38"/>
      </c:pivotFmt>
      <c:pivotFmt>
        <c:idx val="39"/>
      </c:pivotFmt>
      <c:pivotFmt>
        <c:idx val="40"/>
      </c:pivotFmt>
      <c:pivotFmt>
        <c:idx val="4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2"/>
      </c:pivotFmt>
      <c:pivotFmt>
        <c:idx val="43"/>
      </c:pivotFmt>
      <c:pivotFmt>
        <c:idx val="44"/>
      </c:pivotFmt>
      <c:pivotFmt>
        <c:idx val="45"/>
      </c:pivotFmt>
      <c:pivotFmt>
        <c:idx val="46"/>
      </c:pivotFmt>
      <c:pivotFmt>
        <c:idx val="4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8"/>
      </c:pivotFmt>
      <c:pivotFmt>
        <c:idx val="49"/>
      </c:pivotFmt>
      <c:pivotFmt>
        <c:idx val="50"/>
      </c:pivotFmt>
      <c:pivotFmt>
        <c:idx val="51"/>
      </c:pivotFmt>
      <c:pivotFmt>
        <c:idx val="52"/>
      </c:pivotFmt>
      <c:pivotFmt>
        <c:idx val="5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4"/>
      </c:pivotFmt>
      <c:pivotFmt>
        <c:idx val="55"/>
      </c:pivotFmt>
      <c:pivotFmt>
        <c:idx val="56"/>
      </c:pivotFmt>
      <c:pivotFmt>
        <c:idx val="57"/>
      </c:pivotFmt>
      <c:pivotFmt>
        <c:idx val="58"/>
      </c:pivotFmt>
      <c:pivotFmt>
        <c:idx val="5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0"/>
      </c:pivotFmt>
      <c:pivotFmt>
        <c:idx val="61"/>
      </c:pivotFmt>
      <c:pivotFmt>
        <c:idx val="62"/>
      </c:pivotFmt>
      <c:pivotFmt>
        <c:idx val="63"/>
      </c:pivotFmt>
      <c:pivotFmt>
        <c:idx val="64"/>
      </c:pivotFmt>
      <c:pivotFmt>
        <c:idx val="6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6"/>
      </c:pivotFmt>
      <c:pivotFmt>
        <c:idx val="67"/>
      </c:pivotFmt>
      <c:pivotFmt>
        <c:idx val="68"/>
      </c:pivotFmt>
      <c:pivotFmt>
        <c:idx val="69"/>
      </c:pivotFmt>
      <c:pivotFmt>
        <c:idx val="70"/>
      </c:pivotFmt>
      <c:pivotFmt>
        <c:idx val="7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2"/>
      </c:pivotFmt>
      <c:pivotFmt>
        <c:idx val="73"/>
      </c:pivotFmt>
      <c:pivotFmt>
        <c:idx val="74"/>
      </c:pivotFmt>
      <c:pivotFmt>
        <c:idx val="75"/>
      </c:pivotFmt>
      <c:pivotFmt>
        <c:idx val="76"/>
      </c:pivotFmt>
      <c:pivotFmt>
        <c:idx val="7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8"/>
      </c:pivotFmt>
      <c:pivotFmt>
        <c:idx val="79"/>
      </c:pivotFmt>
      <c:pivotFmt>
        <c:idx val="80"/>
      </c:pivotFmt>
      <c:pivotFmt>
        <c:idx val="81"/>
      </c:pivotFmt>
      <c:pivotFmt>
        <c:idx val="82"/>
      </c:pivotFmt>
      <c:pivotFmt>
        <c:idx val="8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4"/>
      </c:pivotFmt>
      <c:pivotFmt>
        <c:idx val="85"/>
      </c:pivotFmt>
      <c:pivotFmt>
        <c:idx val="86"/>
      </c:pivotFmt>
      <c:pivotFmt>
        <c:idx val="87"/>
      </c:pivotFmt>
      <c:pivotFmt>
        <c:idx val="88"/>
      </c:pivotFmt>
      <c:pivotFmt>
        <c:idx val="8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0"/>
      </c:pivotFmt>
      <c:pivotFmt>
        <c:idx val="91"/>
      </c:pivotFmt>
      <c:pivotFmt>
        <c:idx val="92"/>
      </c:pivotFmt>
      <c:pivotFmt>
        <c:idx val="93"/>
      </c:pivotFmt>
      <c:pivotFmt>
        <c:idx val="94"/>
      </c:pivotFmt>
      <c:pivotFmt>
        <c:idx val="9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6"/>
      </c:pivotFmt>
      <c:pivotFmt>
        <c:idx val="97"/>
      </c:pivotFmt>
      <c:pivotFmt>
        <c:idx val="98"/>
      </c:pivotFmt>
      <c:pivotFmt>
        <c:idx val="99"/>
      </c:pivotFmt>
      <c:pivotFmt>
        <c:idx val="100"/>
      </c:pivotFmt>
      <c:pivotFmt>
        <c:idx val="10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2"/>
      </c:pivotFmt>
      <c:pivotFmt>
        <c:idx val="103"/>
      </c:pivotFmt>
      <c:pivotFmt>
        <c:idx val="104"/>
      </c:pivotFmt>
      <c:pivotFmt>
        <c:idx val="105"/>
      </c:pivotFmt>
      <c:pivotFmt>
        <c:idx val="106"/>
      </c:pivotFmt>
      <c:pivotFmt>
        <c:idx val="10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8"/>
      </c:pivotFmt>
      <c:pivotFmt>
        <c:idx val="109"/>
      </c:pivotFmt>
      <c:pivotFmt>
        <c:idx val="110"/>
      </c:pivotFmt>
      <c:pivotFmt>
        <c:idx val="111"/>
      </c:pivotFmt>
      <c:pivotFmt>
        <c:idx val="112"/>
      </c:pivotFmt>
      <c:pivotFmt>
        <c:idx val="1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4"/>
      </c:pivotFmt>
      <c:pivotFmt>
        <c:idx val="115"/>
      </c:pivotFmt>
      <c:pivotFmt>
        <c:idx val="116"/>
      </c:pivotFmt>
      <c:pivotFmt>
        <c:idx val="117"/>
      </c:pivotFmt>
      <c:pivotFmt>
        <c:idx val="118"/>
      </c:pivotFmt>
      <c:pivotFmt>
        <c:idx val="1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0"/>
      </c:pivotFmt>
      <c:pivotFmt>
        <c:idx val="121"/>
      </c:pivotFmt>
      <c:pivotFmt>
        <c:idx val="122"/>
      </c:pivotFmt>
      <c:pivotFmt>
        <c:idx val="123"/>
      </c:pivotFmt>
      <c:pivotFmt>
        <c:idx val="124"/>
      </c:pivotFmt>
      <c:pivotFmt>
        <c:idx val="12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6"/>
      </c:pivotFmt>
      <c:pivotFmt>
        <c:idx val="127"/>
      </c:pivotFmt>
      <c:pivotFmt>
        <c:idx val="128"/>
      </c:pivotFmt>
      <c:pivotFmt>
        <c:idx val="129"/>
      </c:pivotFmt>
      <c:pivotFmt>
        <c:idx val="130"/>
      </c:pivotFmt>
      <c:pivotFmt>
        <c:idx val="13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2"/>
      </c:pivotFmt>
      <c:pivotFmt>
        <c:idx val="133"/>
      </c:pivotFmt>
      <c:pivotFmt>
        <c:idx val="134"/>
      </c:pivotFmt>
      <c:pivotFmt>
        <c:idx val="135"/>
      </c:pivotFmt>
      <c:pivotFmt>
        <c:idx val="136"/>
      </c:pivotFmt>
      <c:pivotFmt>
        <c:idx val="137"/>
        <c:spPr>
          <a:solidFill>
            <a:schemeClr val="accent1"/>
          </a:solidFill>
          <a:ln>
            <a:noFill/>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8"/>
      </c:pivotFmt>
      <c:pivotFmt>
        <c:idx val="139"/>
      </c:pivotFmt>
      <c:pivotFmt>
        <c:idx val="140"/>
      </c:pivotFmt>
      <c:pivotFmt>
        <c:idx val="141"/>
      </c:pivotFmt>
      <c:pivotFmt>
        <c:idx val="142"/>
      </c:pivotFmt>
      <c:pivotFmt>
        <c:idx val="143"/>
        <c:spPr>
          <a:solidFill>
            <a:schemeClr val="accent1"/>
          </a:solidFill>
          <a:ln>
            <a:noFill/>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4"/>
      </c:pivotFmt>
      <c:pivotFmt>
        <c:idx val="145"/>
      </c:pivotFmt>
      <c:pivotFmt>
        <c:idx val="146"/>
      </c:pivotFmt>
      <c:pivotFmt>
        <c:idx val="147"/>
      </c:pivotFmt>
      <c:pivotFmt>
        <c:idx val="148"/>
      </c:pivotFmt>
      <c:pivotFmt>
        <c:idx val="149"/>
        <c:spPr>
          <a:solidFill>
            <a:schemeClr val="accent1"/>
          </a:solidFill>
          <a:ln>
            <a:noFill/>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0"/>
      </c:pivotFmt>
      <c:pivotFmt>
        <c:idx val="151"/>
      </c:pivotFmt>
      <c:pivotFmt>
        <c:idx val="152"/>
      </c:pivotFmt>
      <c:pivotFmt>
        <c:idx val="153"/>
      </c:pivotFmt>
      <c:pivotFmt>
        <c:idx val="154"/>
      </c:pivotFmt>
      <c:pivotFmt>
        <c:idx val="155"/>
        <c:spPr>
          <a:solidFill>
            <a:schemeClr val="accent1"/>
          </a:solidFill>
          <a:ln>
            <a:noFill/>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6"/>
      </c:pivotFmt>
      <c:pivotFmt>
        <c:idx val="157"/>
      </c:pivotFmt>
      <c:pivotFmt>
        <c:idx val="158"/>
      </c:pivotFmt>
      <c:pivotFmt>
        <c:idx val="159"/>
      </c:pivotFmt>
      <c:pivotFmt>
        <c:idx val="160"/>
      </c:pivotFmt>
      <c:pivotFmt>
        <c:idx val="16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Pivot_Tables!$E$7</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435-4873-9F62-88C0A6334B77}"/>
              </c:ext>
            </c:extLst>
          </c:dPt>
          <c:dPt>
            <c:idx val="1"/>
            <c:invertIfNegative val="0"/>
            <c:bubble3D val="0"/>
            <c:extLst>
              <c:ext xmlns:c16="http://schemas.microsoft.com/office/drawing/2014/chart" uri="{C3380CC4-5D6E-409C-BE32-E72D297353CC}">
                <c16:uniqueId val="{00000001-6435-4873-9F62-88C0A6334B77}"/>
              </c:ext>
            </c:extLst>
          </c:dPt>
          <c:dPt>
            <c:idx val="2"/>
            <c:invertIfNegative val="0"/>
            <c:bubble3D val="0"/>
            <c:extLst>
              <c:ext xmlns:c16="http://schemas.microsoft.com/office/drawing/2014/chart" uri="{C3380CC4-5D6E-409C-BE32-E72D297353CC}">
                <c16:uniqueId val="{00000002-6435-4873-9F62-88C0A6334B77}"/>
              </c:ext>
            </c:extLst>
          </c:dPt>
          <c:dPt>
            <c:idx val="3"/>
            <c:invertIfNegative val="0"/>
            <c:bubble3D val="0"/>
            <c:extLst>
              <c:ext xmlns:c16="http://schemas.microsoft.com/office/drawing/2014/chart" uri="{C3380CC4-5D6E-409C-BE32-E72D297353CC}">
                <c16:uniqueId val="{00000003-6435-4873-9F62-88C0A6334B77}"/>
              </c:ext>
            </c:extLst>
          </c:dPt>
          <c:dPt>
            <c:idx val="4"/>
            <c:invertIfNegative val="0"/>
            <c:bubble3D val="0"/>
            <c:extLst>
              <c:ext xmlns:c16="http://schemas.microsoft.com/office/drawing/2014/chart" uri="{C3380CC4-5D6E-409C-BE32-E72D297353CC}">
                <c16:uniqueId val="{00000004-6435-4873-9F62-88C0A6334B77}"/>
              </c:ext>
            </c:extLst>
          </c:dPt>
          <c:dLbls>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Pivot_Tables!$D$8:$D$12</c:f>
              <c:strCache>
                <c:ptCount val="5"/>
                <c:pt idx="0">
                  <c:v>Uttar Pradesh</c:v>
                </c:pt>
                <c:pt idx="1">
                  <c:v>Maharashtra</c:v>
                </c:pt>
                <c:pt idx="2">
                  <c:v>Karnataka</c:v>
                </c:pt>
                <c:pt idx="3">
                  <c:v>Tamil Nadu</c:v>
                </c:pt>
                <c:pt idx="4">
                  <c:v>Rajasthan</c:v>
                </c:pt>
              </c:strCache>
            </c:strRef>
          </c:cat>
          <c:val>
            <c:numRef>
              <c:f>Pivot_Tables!$E$8:$E$12</c:f>
              <c:numCache>
                <c:formatCode>General</c:formatCode>
                <c:ptCount val="5"/>
                <c:pt idx="0">
                  <c:v>682428</c:v>
                </c:pt>
                <c:pt idx="1">
                  <c:v>501521</c:v>
                </c:pt>
                <c:pt idx="2">
                  <c:v>395175</c:v>
                </c:pt>
                <c:pt idx="3">
                  <c:v>294652</c:v>
                </c:pt>
                <c:pt idx="4">
                  <c:v>258301</c:v>
                </c:pt>
              </c:numCache>
            </c:numRef>
          </c:val>
          <c:extLst>
            <c:ext xmlns:c16="http://schemas.microsoft.com/office/drawing/2014/chart" uri="{C3380CC4-5D6E-409C-BE32-E72D297353CC}">
              <c16:uniqueId val="{00000005-6435-4873-9F62-88C0A6334B77}"/>
            </c:ext>
          </c:extLst>
        </c:ser>
        <c:dLbls>
          <c:showLegendKey val="0"/>
          <c:showVal val="0"/>
          <c:showCatName val="0"/>
          <c:showSerName val="0"/>
          <c:showPercent val="0"/>
          <c:showBubbleSize val="0"/>
        </c:dLbls>
        <c:gapWidth val="150"/>
        <c:axId val="55517520"/>
        <c:axId val="1478953664"/>
      </c:barChart>
      <c:valAx>
        <c:axId val="1478953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Number</a:t>
                </a:r>
                <a:r>
                  <a:rPr lang="en-US" baseline="0"/>
                  <a:t> of EV Sales</a:t>
                </a:r>
                <a:endParaRPr lang="en-US"/>
              </a:p>
            </c:rich>
          </c:tx>
          <c:overlay val="0"/>
        </c:title>
        <c:numFmt formatCode="General" sourceLinked="1"/>
        <c:majorTickMark val="none"/>
        <c:minorTickMark val="none"/>
        <c:tickLblPos val="nextTo"/>
        <c:spPr>
          <a:noFill/>
          <a:ln>
            <a:noFill/>
          </a:ln>
          <a:effectLst/>
        </c:spPr>
        <c:txPr>
          <a:bodyPr rot="-60000000" vert="horz"/>
          <a:lstStyle/>
          <a:p>
            <a:pPr>
              <a:defRPr/>
            </a:pPr>
            <a:endParaRPr lang="en-US"/>
          </a:p>
        </c:txPr>
        <c:crossAx val="55517520"/>
        <c:crosses val="autoZero"/>
        <c:crossBetween val="between"/>
      </c:valAx>
      <c:catAx>
        <c:axId val="55517520"/>
        <c:scaling>
          <c:orientation val="minMax"/>
        </c:scaling>
        <c:delete val="0"/>
        <c:axPos val="b"/>
        <c:title>
          <c:tx>
            <c:rich>
              <a:bodyPr/>
              <a:lstStyle/>
              <a:p>
                <a:pPr>
                  <a:defRPr/>
                </a:pPr>
                <a:r>
                  <a:rPr lang="en-US"/>
                  <a:t>Top</a:t>
                </a:r>
                <a:r>
                  <a:rPr lang="en-US" baseline="0"/>
                  <a:t> 5 States</a:t>
                </a:r>
                <a:endParaRPr lang="en-US"/>
              </a:p>
            </c:rich>
          </c:tx>
          <c:overlay val="0"/>
        </c:title>
        <c:numFmt formatCode="General" sourceLinked="1"/>
        <c:majorTickMark val="none"/>
        <c:minorTickMark val="none"/>
        <c:tickLblPos val="nextTo"/>
        <c:spPr>
          <a:noFill/>
          <a:ln>
            <a:noFill/>
          </a:ln>
          <a:effectLst/>
        </c:spPr>
        <c:txPr>
          <a:bodyPr rot="-60000000" vert="horz"/>
          <a:lstStyle/>
          <a:p>
            <a:pPr>
              <a:defRPr/>
            </a:pPr>
            <a:endParaRPr lang="en-US"/>
          </a:p>
        </c:txPr>
        <c:crossAx val="1478953664"/>
        <c:crosses val="autoZero"/>
        <c:auto val="1"/>
        <c:lblAlgn val="ctr"/>
        <c:lblOffset val="100"/>
        <c:noMultiLvlLbl val="0"/>
      </c:catAx>
    </c:plotArea>
    <c:plotVisOnly val="1"/>
    <c:dispBlanksAs val="gap"/>
    <c:showDLblsOverMax val="0"/>
    <c:extLst/>
  </c:chart>
  <c:txPr>
    <a:bodyPr/>
    <a:lstStyle/>
    <a:p>
      <a:pPr>
        <a:defRPr>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[actual project.xlsx]Pivot_Tables!3W AND 4W EV Sales</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r>
              <a:rPr lang="en-US" b="1"/>
              <a:t>3W and 4W Sales Graph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j-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j-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Pivot_Tables!$D$171</c:f>
              <c:strCache>
                <c:ptCount val="1"/>
                <c:pt idx="0">
                  <c:v>Sum of 4W EV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Pivot_Tables!$C$172:$C$176</c:f>
              <c:strCache>
                <c:ptCount val="4"/>
                <c:pt idx="0">
                  <c:v>2021</c:v>
                </c:pt>
                <c:pt idx="1">
                  <c:v>2022</c:v>
                </c:pt>
                <c:pt idx="2">
                  <c:v>2023</c:v>
                </c:pt>
                <c:pt idx="3">
                  <c:v>2024</c:v>
                </c:pt>
              </c:strCache>
            </c:strRef>
          </c:cat>
          <c:val>
            <c:numRef>
              <c:f>Pivot_Tables!$D$172:$D$176</c:f>
              <c:numCache>
                <c:formatCode>General</c:formatCode>
                <c:ptCount val="4"/>
                <c:pt idx="0">
                  <c:v>12999</c:v>
                </c:pt>
                <c:pt idx="1">
                  <c:v>38144</c:v>
                </c:pt>
                <c:pt idx="2">
                  <c:v>80078</c:v>
                </c:pt>
                <c:pt idx="3">
                  <c:v>102301</c:v>
                </c:pt>
              </c:numCache>
            </c:numRef>
          </c:val>
          <c:smooth val="0"/>
          <c:extLst>
            <c:ext xmlns:c16="http://schemas.microsoft.com/office/drawing/2014/chart" uri="{C3380CC4-5D6E-409C-BE32-E72D297353CC}">
              <c16:uniqueId val="{00000002-67DA-4826-A0AA-115D5A807FCD}"/>
            </c:ext>
          </c:extLst>
        </c:ser>
        <c:ser>
          <c:idx val="1"/>
          <c:order val="1"/>
          <c:tx>
            <c:strRef>
              <c:f>Pivot_Tables!$E$171</c:f>
              <c:strCache>
                <c:ptCount val="1"/>
                <c:pt idx="0">
                  <c:v>Sum of 3W EV Sales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Pivot_Tables!$C$172:$C$176</c:f>
              <c:strCache>
                <c:ptCount val="4"/>
                <c:pt idx="0">
                  <c:v>2021</c:v>
                </c:pt>
                <c:pt idx="1">
                  <c:v>2022</c:v>
                </c:pt>
                <c:pt idx="2">
                  <c:v>2023</c:v>
                </c:pt>
                <c:pt idx="3">
                  <c:v>2024</c:v>
                </c:pt>
              </c:strCache>
            </c:strRef>
          </c:cat>
          <c:val>
            <c:numRef>
              <c:f>Pivot_Tables!$E$172:$E$176</c:f>
              <c:numCache>
                <c:formatCode>General</c:formatCode>
                <c:ptCount val="4"/>
                <c:pt idx="0">
                  <c:v>159909</c:v>
                </c:pt>
                <c:pt idx="1">
                  <c:v>352722</c:v>
                </c:pt>
                <c:pt idx="2">
                  <c:v>582530</c:v>
                </c:pt>
                <c:pt idx="3">
                  <c:v>329466</c:v>
                </c:pt>
              </c:numCache>
            </c:numRef>
          </c:val>
          <c:smooth val="0"/>
          <c:extLst>
            <c:ext xmlns:c16="http://schemas.microsoft.com/office/drawing/2014/chart" uri="{C3380CC4-5D6E-409C-BE32-E72D297353CC}">
              <c16:uniqueId val="{00000003-67DA-4826-A0AA-115D5A807FCD}"/>
            </c:ext>
          </c:extLst>
        </c:ser>
        <c:dLbls>
          <c:dLblPos val="t"/>
          <c:showLegendKey val="0"/>
          <c:showVal val="0"/>
          <c:showCatName val="0"/>
          <c:showSerName val="0"/>
          <c:showPercent val="0"/>
          <c:showBubbleSize val="0"/>
        </c:dLbls>
        <c:marker val="1"/>
        <c:smooth val="0"/>
        <c:axId val="584727856"/>
        <c:axId val="275170208"/>
      </c:lineChart>
      <c:catAx>
        <c:axId val="58472785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j-lt"/>
                <a:ea typeface="+mn-ea"/>
                <a:cs typeface="+mn-cs"/>
              </a:defRPr>
            </a:pPr>
            <a:endParaRPr lang="en-US"/>
          </a:p>
        </c:txPr>
        <c:crossAx val="275170208"/>
        <c:crosses val="autoZero"/>
        <c:auto val="1"/>
        <c:lblAlgn val="ctr"/>
        <c:lblOffset val="100"/>
        <c:noMultiLvlLbl val="0"/>
      </c:catAx>
      <c:valAx>
        <c:axId val="27517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r>
                  <a:rPr lang="en-US" b="1"/>
                  <a:t>Number of EV Sales</a:t>
                </a:r>
              </a:p>
            </c:rich>
          </c:tx>
          <c:layout>
            <c:manualLayout>
              <c:xMode val="edge"/>
              <c:yMode val="edge"/>
              <c:x val="1.0373759615893171E-2"/>
              <c:y val="0.2324476730968220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j-lt"/>
                <a:ea typeface="+mn-ea"/>
                <a:cs typeface="+mn-cs"/>
              </a:defRPr>
            </a:pPr>
            <a:endParaRPr lang="en-US"/>
          </a:p>
        </c:txPr>
        <c:crossAx val="58472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r>
              <a:rPr lang="en-US" sz="1400" b="1" i="0" u="none" strike="noStrike" baseline="0"/>
              <a:t>Do Richer States Buy More EVs?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endParaRPr lang="en-US"/>
        </a:p>
      </c:txPr>
    </c:title>
    <c:autoTitleDeleted val="0"/>
    <c:plotArea>
      <c:layout/>
      <c:scatterChart>
        <c:scatterStyle val="lineMarker"/>
        <c:varyColors val="0"/>
        <c:ser>
          <c:idx val="0"/>
          <c:order val="0"/>
          <c:tx>
            <c:strRef>
              <c:f>Pivot_Tables!$E$190</c:f>
              <c:strCache>
                <c:ptCount val="1"/>
                <c:pt idx="0">
                  <c:v>Avg 4W EV Penetration</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Pivot_Tables!$D$191:$D$223</c:f>
              <c:numCache>
                <c:formatCode>General</c:formatCode>
                <c:ptCount val="33"/>
                <c:pt idx="0">
                  <c:v>173272.25</c:v>
                </c:pt>
                <c:pt idx="1">
                  <c:v>206909.25</c:v>
                </c:pt>
                <c:pt idx="2">
                  <c:v>143095</c:v>
                </c:pt>
                <c:pt idx="3">
                  <c:v>111353.25</c:v>
                </c:pt>
                <c:pt idx="4">
                  <c:v>50809.75</c:v>
                </c:pt>
                <c:pt idx="5">
                  <c:v>256869.25</c:v>
                </c:pt>
                <c:pt idx="6">
                  <c:v>128435.25</c:v>
                </c:pt>
                <c:pt idx="7">
                  <c:v>397639.5</c:v>
                </c:pt>
                <c:pt idx="8">
                  <c:v>343697.25</c:v>
                </c:pt>
                <c:pt idx="9">
                  <c:v>180339.75</c:v>
                </c:pt>
                <c:pt idx="10">
                  <c:v>277916.75</c:v>
                </c:pt>
                <c:pt idx="11">
                  <c:v>205733.5</c:v>
                </c:pt>
                <c:pt idx="12">
                  <c:v>121793.25</c:v>
                </c:pt>
                <c:pt idx="13">
                  <c:v>90046.5</c:v>
                </c:pt>
                <c:pt idx="14">
                  <c:v>281511.75</c:v>
                </c:pt>
                <c:pt idx="15">
                  <c:v>239593.75</c:v>
                </c:pt>
                <c:pt idx="16">
                  <c:v>123317.75</c:v>
                </c:pt>
                <c:pt idx="17">
                  <c:v>233004.75</c:v>
                </c:pt>
                <c:pt idx="18">
                  <c:v>71615.75</c:v>
                </c:pt>
                <c:pt idx="19">
                  <c:v>114891.5</c:v>
                </c:pt>
                <c:pt idx="20">
                  <c:v>144907.5</c:v>
                </c:pt>
                <c:pt idx="21">
                  <c:v>98135.75</c:v>
                </c:pt>
                <c:pt idx="22">
                  <c:v>136042.75</c:v>
                </c:pt>
                <c:pt idx="23">
                  <c:v>236941.25</c:v>
                </c:pt>
                <c:pt idx="24">
                  <c:v>174769.75</c:v>
                </c:pt>
                <c:pt idx="25">
                  <c:v>141900.5</c:v>
                </c:pt>
                <c:pt idx="26">
                  <c:v>497443</c:v>
                </c:pt>
                <c:pt idx="27">
                  <c:v>261247.25</c:v>
                </c:pt>
                <c:pt idx="28">
                  <c:v>290955</c:v>
                </c:pt>
                <c:pt idx="29">
                  <c:v>147630</c:v>
                </c:pt>
                <c:pt idx="30">
                  <c:v>78323.25</c:v>
                </c:pt>
                <c:pt idx="31">
                  <c:v>217741.75</c:v>
                </c:pt>
                <c:pt idx="32">
                  <c:v>130143.5</c:v>
                </c:pt>
              </c:numCache>
            </c:numRef>
          </c:xVal>
          <c:yVal>
            <c:numRef>
              <c:f>Pivot_Tables!$E$191:$E$223</c:f>
              <c:numCache>
                <c:formatCode>General</c:formatCode>
                <c:ptCount val="33"/>
                <c:pt idx="0">
                  <c:v>1.4125000000000002E-2</c:v>
                </c:pt>
                <c:pt idx="1">
                  <c:v>2.8075000000000003E-2</c:v>
                </c:pt>
                <c:pt idx="2">
                  <c:v>1.2999999999999999E-3</c:v>
                </c:pt>
                <c:pt idx="3">
                  <c:v>2.875E-3</c:v>
                </c:pt>
                <c:pt idx="4">
                  <c:v>6.2249999999999996E-3</c:v>
                </c:pt>
                <c:pt idx="5">
                  <c:v>4.3475E-2</c:v>
                </c:pt>
                <c:pt idx="6">
                  <c:v>1.6424999999999999E-2</c:v>
                </c:pt>
                <c:pt idx="7">
                  <c:v>4.8875000000000002E-2</c:v>
                </c:pt>
                <c:pt idx="8">
                  <c:v>4.2025000000000007E-2</c:v>
                </c:pt>
                <c:pt idx="9">
                  <c:v>1.9700000000000002E-2</c:v>
                </c:pt>
                <c:pt idx="10">
                  <c:v>4.875E-3</c:v>
                </c:pt>
                <c:pt idx="11">
                  <c:v>4.0499999999999998E-3</c:v>
                </c:pt>
                <c:pt idx="12">
                  <c:v>3.3499999999999997E-3</c:v>
                </c:pt>
                <c:pt idx="13">
                  <c:v>5.9500000000000004E-3</c:v>
                </c:pt>
                <c:pt idx="14">
                  <c:v>3.4049999999999997E-2</c:v>
                </c:pt>
                <c:pt idx="15">
                  <c:v>3.755E-2</c:v>
                </c:pt>
                <c:pt idx="16">
                  <c:v>9.4000000000000004E-3</c:v>
                </c:pt>
                <c:pt idx="17">
                  <c:v>3.2524999999999998E-2</c:v>
                </c:pt>
                <c:pt idx="18">
                  <c:v>6.5749999999999992E-3</c:v>
                </c:pt>
                <c:pt idx="19">
                  <c:v>2.8999999999999998E-3</c:v>
                </c:pt>
                <c:pt idx="20">
                  <c:v>1.175E-3</c:v>
                </c:pt>
                <c:pt idx="21">
                  <c:v>5.7499999999999999E-4</c:v>
                </c:pt>
                <c:pt idx="22">
                  <c:v>2.5225000000000001E-2</c:v>
                </c:pt>
                <c:pt idx="23">
                  <c:v>6.4999999999999997E-3</c:v>
                </c:pt>
                <c:pt idx="24">
                  <c:v>8.5500000000000003E-3</c:v>
                </c:pt>
                <c:pt idx="25">
                  <c:v>2.53E-2</c:v>
                </c:pt>
                <c:pt idx="26">
                  <c:v>5.9999999999999995E-4</c:v>
                </c:pt>
                <c:pt idx="27">
                  <c:v>2.4E-2</c:v>
                </c:pt>
                <c:pt idx="28">
                  <c:v>4.0925000000000003E-2</c:v>
                </c:pt>
                <c:pt idx="29">
                  <c:v>2.8500000000000001E-3</c:v>
                </c:pt>
                <c:pt idx="30">
                  <c:v>1.0024999999999999E-2</c:v>
                </c:pt>
                <c:pt idx="31">
                  <c:v>1.1075000000000002E-2</c:v>
                </c:pt>
                <c:pt idx="32">
                  <c:v>2.2124999999999999E-2</c:v>
                </c:pt>
              </c:numCache>
            </c:numRef>
          </c:yVal>
          <c:smooth val="0"/>
          <c:extLst>
            <c:ext xmlns:c16="http://schemas.microsoft.com/office/drawing/2014/chart" uri="{C3380CC4-5D6E-409C-BE32-E72D297353CC}">
              <c16:uniqueId val="{00000000-C027-4E11-8AD3-BCF00379F51B}"/>
            </c:ext>
          </c:extLst>
        </c:ser>
        <c:dLbls>
          <c:showLegendKey val="0"/>
          <c:showVal val="0"/>
          <c:showCatName val="0"/>
          <c:showSerName val="0"/>
          <c:showPercent val="0"/>
          <c:showBubbleSize val="0"/>
        </c:dLbls>
        <c:axId val="1583560704"/>
        <c:axId val="275173088"/>
      </c:scatterChart>
      <c:valAx>
        <c:axId val="1583560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r>
                  <a:rPr lang="en-US" sz="1000" b="1" i="0" u="none" strike="noStrike" baseline="0"/>
                  <a:t>Per Capita Income (₹)</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j-lt"/>
                <a:ea typeface="+mn-ea"/>
                <a:cs typeface="+mn-cs"/>
              </a:defRPr>
            </a:pPr>
            <a:endParaRPr lang="en-US"/>
          </a:p>
        </c:txPr>
        <c:crossAx val="275173088"/>
        <c:crosses val="autoZero"/>
        <c:crossBetween val="midCat"/>
      </c:valAx>
      <c:valAx>
        <c:axId val="27517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r>
                  <a:rPr lang="en-US" sz="1000" b="1" i="0" u="none" strike="noStrike" baseline="0"/>
                  <a:t>4W EV Penetration (%)</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j-lt"/>
                <a:ea typeface="+mn-ea"/>
                <a:cs typeface="+mn-cs"/>
              </a:defRPr>
            </a:pPr>
            <a:endParaRPr lang="en-US"/>
          </a:p>
        </c:txPr>
        <c:crossAx val="15835607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solidFill>
            <a:sysClr val="windowText" lastClr="000000"/>
          </a:solidFill>
          <a:latin typeface="+mj-lt"/>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[actual project.xlsx]Pivot_Tables!Average of ratio of 3w vs 4w</c:name>
    <c:fmtId val="2"/>
  </c:pivotSource>
  <c:chart>
    <c:title>
      <c:tx>
        <c:rich>
          <a:bodyPr rot="0" spcFirstLastPara="1" vertOverflow="ellipsis" vert="horz" wrap="square" anchor="ctr" anchorCtr="1"/>
          <a:lstStyle/>
          <a:p>
            <a:pPr>
              <a:defRPr sz="1320" b="0" i="0" u="none" strike="noStrike" kern="1200" spc="0" baseline="0">
                <a:solidFill>
                  <a:schemeClr val="tx1"/>
                </a:solidFill>
                <a:latin typeface="+mj-lt"/>
                <a:ea typeface="+mn-ea"/>
                <a:cs typeface="+mn-cs"/>
              </a:defRPr>
            </a:pPr>
            <a:r>
              <a:rPr lang="en-US" b="1" baseline="0"/>
              <a:t>Avg of Ratio of 3W vs 4W by Year</a:t>
            </a:r>
            <a:endParaRPr lang="en-US" b="1"/>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93365688895682"/>
          <c:y val="0.21538707686681449"/>
          <c:w val="0.791866329000804"/>
          <c:h val="0.54379739891659618"/>
        </c:manualLayout>
      </c:layout>
      <c:bar3DChart>
        <c:barDir val="col"/>
        <c:grouping val="clustered"/>
        <c:varyColors val="0"/>
        <c:ser>
          <c:idx val="0"/>
          <c:order val="0"/>
          <c:tx>
            <c:strRef>
              <c:f>Pivot_Tables!$D$253</c:f>
              <c:strCache>
                <c:ptCount val="1"/>
                <c:pt idx="0">
                  <c:v>Total</c:v>
                </c:pt>
              </c:strCache>
            </c:strRef>
          </c:tx>
          <c:spPr>
            <a:solidFill>
              <a:schemeClr val="accent1"/>
            </a:solidFill>
            <a:ln>
              <a:noFill/>
            </a:ln>
            <a:effectLst/>
            <a:sp3d/>
          </c:spPr>
          <c:invertIfNegative val="0"/>
          <c:cat>
            <c:strRef>
              <c:f>Pivot_Tables!$C$254:$C$258</c:f>
              <c:strCache>
                <c:ptCount val="4"/>
                <c:pt idx="0">
                  <c:v>2021</c:v>
                </c:pt>
                <c:pt idx="1">
                  <c:v>2022</c:v>
                </c:pt>
                <c:pt idx="2">
                  <c:v>2023</c:v>
                </c:pt>
                <c:pt idx="3">
                  <c:v>2024</c:v>
                </c:pt>
              </c:strCache>
            </c:strRef>
          </c:cat>
          <c:val>
            <c:numRef>
              <c:f>Pivot_Tables!$D$254:$D$258</c:f>
              <c:numCache>
                <c:formatCode>General</c:formatCode>
                <c:ptCount val="4"/>
                <c:pt idx="0">
                  <c:v>26.455185185185186</c:v>
                </c:pt>
                <c:pt idx="1">
                  <c:v>25.562857142857137</c:v>
                </c:pt>
                <c:pt idx="2">
                  <c:v>18.263999999999999</c:v>
                </c:pt>
                <c:pt idx="3">
                  <c:v>11.799999999999999</c:v>
                </c:pt>
              </c:numCache>
            </c:numRef>
          </c:val>
          <c:extLst>
            <c:ext xmlns:c16="http://schemas.microsoft.com/office/drawing/2014/chart" uri="{C3380CC4-5D6E-409C-BE32-E72D297353CC}">
              <c16:uniqueId val="{00000000-4816-46C5-81CA-82C234919593}"/>
            </c:ext>
          </c:extLst>
        </c:ser>
        <c:dLbls>
          <c:showLegendKey val="0"/>
          <c:showVal val="0"/>
          <c:showCatName val="0"/>
          <c:showSerName val="0"/>
          <c:showPercent val="0"/>
          <c:showBubbleSize val="0"/>
        </c:dLbls>
        <c:gapWidth val="150"/>
        <c:shape val="box"/>
        <c:axId val="1583579728"/>
        <c:axId val="1478971904"/>
        <c:axId val="0"/>
      </c:bar3DChart>
      <c:catAx>
        <c:axId val="158357972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solidFill>
                    <a:latin typeface="+mj-lt"/>
                    <a:ea typeface="+mn-ea"/>
                    <a:cs typeface="+mn-cs"/>
                  </a:defRPr>
                </a:pPr>
                <a:r>
                  <a:rPr lang="en-US"/>
                  <a:t>Year</a:t>
                </a:r>
              </a:p>
            </c:rich>
          </c:tx>
          <c:layout>
            <c:manualLayout>
              <c:xMode val="edge"/>
              <c:yMode val="edge"/>
              <c:x val="0.44943786864837137"/>
              <c:y val="0.8784050650270850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j-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j-lt"/>
                <a:ea typeface="+mn-ea"/>
                <a:cs typeface="+mn-cs"/>
              </a:defRPr>
            </a:pPr>
            <a:endParaRPr lang="en-US"/>
          </a:p>
        </c:txPr>
        <c:crossAx val="1478971904"/>
        <c:crosses val="autoZero"/>
        <c:auto val="1"/>
        <c:lblAlgn val="ctr"/>
        <c:lblOffset val="100"/>
        <c:noMultiLvlLbl val="0"/>
      </c:catAx>
      <c:valAx>
        <c:axId val="147897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mj-lt"/>
                    <a:ea typeface="+mn-ea"/>
                    <a:cs typeface="+mn-cs"/>
                  </a:defRPr>
                </a:pPr>
                <a:r>
                  <a:rPr lang="en-US"/>
                  <a:t>Average of Ratio</a:t>
                </a:r>
              </a:p>
            </c:rich>
          </c:tx>
          <c:layout>
            <c:manualLayout>
              <c:xMode val="edge"/>
              <c:yMode val="edge"/>
              <c:x val="1.5398034015654347E-2"/>
              <c:y val="0.306590477931933"/>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j-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j-lt"/>
                <a:ea typeface="+mn-ea"/>
                <a:cs typeface="+mn-cs"/>
              </a:defRPr>
            </a:pPr>
            <a:endParaRPr lang="en-US"/>
          </a:p>
        </c:txPr>
        <c:crossAx val="158357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sz="1100">
          <a:solidFill>
            <a:schemeClr val="tx1"/>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56029</xdr:colOff>
      <xdr:row>3</xdr:row>
      <xdr:rowOff>107254</xdr:rowOff>
    </xdr:from>
    <xdr:to>
      <xdr:col>2</xdr:col>
      <xdr:colOff>675638</xdr:colOff>
      <xdr:row>44</xdr:row>
      <xdr:rowOff>100853</xdr:rowOff>
    </xdr:to>
    <xdr:sp macro="" textlink="">
      <xdr:nvSpPr>
        <xdr:cNvPr id="2" name="Rectangle 1">
          <a:extLst>
            <a:ext uri="{FF2B5EF4-FFF2-40B4-BE49-F238E27FC236}">
              <a16:creationId xmlns:a16="http://schemas.microsoft.com/office/drawing/2014/main" id="{0BD17FDF-D5CD-6080-217B-4CBDA5E6211C}"/>
            </a:ext>
          </a:extLst>
        </xdr:cNvPr>
        <xdr:cNvSpPr/>
      </xdr:nvSpPr>
      <xdr:spPr>
        <a:xfrm>
          <a:off x="56029" y="645136"/>
          <a:ext cx="1986727" cy="7344658"/>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a:solidFill>
                <a:schemeClr val="accent1"/>
              </a:solidFill>
            </a:ln>
            <a:solidFill>
              <a:schemeClr val="bg1"/>
            </a:solidFill>
          </a:endParaRPr>
        </a:p>
      </xdr:txBody>
    </xdr:sp>
    <xdr:clientData/>
  </xdr:twoCellAnchor>
  <xdr:twoCellAnchor>
    <xdr:from>
      <xdr:col>2</xdr:col>
      <xdr:colOff>632446</xdr:colOff>
      <xdr:row>3</xdr:row>
      <xdr:rowOff>118460</xdr:rowOff>
    </xdr:from>
    <xdr:to>
      <xdr:col>21</xdr:col>
      <xdr:colOff>289952</xdr:colOff>
      <xdr:row>44</xdr:row>
      <xdr:rowOff>100853</xdr:rowOff>
    </xdr:to>
    <xdr:sp macro="" textlink="">
      <xdr:nvSpPr>
        <xdr:cNvPr id="3" name="Rectangle 2">
          <a:extLst>
            <a:ext uri="{FF2B5EF4-FFF2-40B4-BE49-F238E27FC236}">
              <a16:creationId xmlns:a16="http://schemas.microsoft.com/office/drawing/2014/main" id="{F654646C-873D-46F1-ACD5-76D3FF9193BA}"/>
            </a:ext>
          </a:extLst>
        </xdr:cNvPr>
        <xdr:cNvSpPr/>
      </xdr:nvSpPr>
      <xdr:spPr>
        <a:xfrm>
          <a:off x="1999564" y="656342"/>
          <a:ext cx="12645123" cy="7333452"/>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0</xdr:col>
      <xdr:colOff>362231</xdr:colOff>
      <xdr:row>6</xdr:row>
      <xdr:rowOff>54332</xdr:rowOff>
    </xdr:from>
    <xdr:to>
      <xdr:col>2</xdr:col>
      <xdr:colOff>170157</xdr:colOff>
      <xdr:row>8</xdr:row>
      <xdr:rowOff>101862</xdr:rowOff>
    </xdr:to>
    <xdr:sp macro="" textlink="Pivot_Tables!#REF!">
      <xdr:nvSpPr>
        <xdr:cNvPr id="6" name="Rectangle: Rounded Corners 5">
          <a:extLst>
            <a:ext uri="{FF2B5EF4-FFF2-40B4-BE49-F238E27FC236}">
              <a16:creationId xmlns:a16="http://schemas.microsoft.com/office/drawing/2014/main" id="{AEBA3EC3-D4FD-4CEF-BB39-DDE4CD4EE6A8}"/>
            </a:ext>
          </a:extLst>
        </xdr:cNvPr>
        <xdr:cNvSpPr/>
      </xdr:nvSpPr>
      <xdr:spPr>
        <a:xfrm>
          <a:off x="362231" y="1130097"/>
          <a:ext cx="1175044" cy="406118"/>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0886DF4A-4056-47A3-BAAF-B3C229BD0D71}" type="TxLink">
            <a:rPr lang="en-US" sz="1600" b="1" i="0" u="none" strike="noStrike">
              <a:solidFill>
                <a:schemeClr val="bg1"/>
              </a:solidFill>
              <a:effectLst/>
              <a:latin typeface="Calibri"/>
              <a:ea typeface="+mn-ea"/>
              <a:cs typeface="Calibri"/>
            </a:rPr>
            <a:pPr algn="l"/>
            <a:t> </a:t>
          </a:fld>
          <a:endParaRPr lang="en-US" sz="3600" b="1">
            <a:solidFill>
              <a:schemeClr val="bg1"/>
            </a:solidFill>
          </a:endParaRPr>
        </a:p>
      </xdr:txBody>
    </xdr:sp>
    <xdr:clientData/>
  </xdr:twoCellAnchor>
  <xdr:twoCellAnchor>
    <xdr:from>
      <xdr:col>0</xdr:col>
      <xdr:colOff>112059</xdr:colOff>
      <xdr:row>26</xdr:row>
      <xdr:rowOff>36933</xdr:rowOff>
    </xdr:from>
    <xdr:to>
      <xdr:col>2</xdr:col>
      <xdr:colOff>571500</xdr:colOff>
      <xdr:row>34</xdr:row>
      <xdr:rowOff>67236</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3602C99F-D23B-CE5C-E863-86560237655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2059" y="4698580"/>
              <a:ext cx="1826559" cy="1464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362231</xdr:colOff>
      <xdr:row>10</xdr:row>
      <xdr:rowOff>148533</xdr:rowOff>
    </xdr:from>
    <xdr:to>
      <xdr:col>2</xdr:col>
      <xdr:colOff>170157</xdr:colOff>
      <xdr:row>13</xdr:row>
      <xdr:rowOff>16768</xdr:rowOff>
    </xdr:to>
    <xdr:sp macro="" textlink="Pivot_Tables!#REF!">
      <xdr:nvSpPr>
        <xdr:cNvPr id="4" name="Rectangle: Rounded Corners 3">
          <a:extLst>
            <a:ext uri="{FF2B5EF4-FFF2-40B4-BE49-F238E27FC236}">
              <a16:creationId xmlns:a16="http://schemas.microsoft.com/office/drawing/2014/main" id="{9566BDFD-C220-4AEE-9390-D4BC324EA745}"/>
            </a:ext>
          </a:extLst>
        </xdr:cNvPr>
        <xdr:cNvSpPr/>
      </xdr:nvSpPr>
      <xdr:spPr>
        <a:xfrm>
          <a:off x="362231" y="1941474"/>
          <a:ext cx="1175044" cy="406118"/>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0886DF4A-4056-47A3-BAAF-B3C229BD0D71}" type="TxLink">
            <a:rPr lang="en-US" sz="1600" b="1" i="0" u="none" strike="noStrike">
              <a:solidFill>
                <a:schemeClr val="bg1"/>
              </a:solidFill>
              <a:effectLst/>
              <a:latin typeface="Calibri"/>
              <a:ea typeface="+mn-ea"/>
              <a:cs typeface="Calibri"/>
            </a:rPr>
            <a:pPr algn="l"/>
            <a:t> </a:t>
          </a:fld>
          <a:endParaRPr lang="en-US" sz="3600" b="1">
            <a:solidFill>
              <a:schemeClr val="bg1"/>
            </a:solidFill>
          </a:endParaRPr>
        </a:p>
      </xdr:txBody>
    </xdr:sp>
    <xdr:clientData/>
  </xdr:twoCellAnchor>
  <xdr:twoCellAnchor>
    <xdr:from>
      <xdr:col>0</xdr:col>
      <xdr:colOff>362231</xdr:colOff>
      <xdr:row>15</xdr:row>
      <xdr:rowOff>63438</xdr:rowOff>
    </xdr:from>
    <xdr:to>
      <xdr:col>2</xdr:col>
      <xdr:colOff>170157</xdr:colOff>
      <xdr:row>17</xdr:row>
      <xdr:rowOff>110968</xdr:rowOff>
    </xdr:to>
    <xdr:sp macro="" textlink="Pivot_Tables!#REF!">
      <xdr:nvSpPr>
        <xdr:cNvPr id="7" name="Rectangle: Rounded Corners 6">
          <a:extLst>
            <a:ext uri="{FF2B5EF4-FFF2-40B4-BE49-F238E27FC236}">
              <a16:creationId xmlns:a16="http://schemas.microsoft.com/office/drawing/2014/main" id="{EFB56760-2BC9-402A-84C7-BCC9ED74672B}"/>
            </a:ext>
          </a:extLst>
        </xdr:cNvPr>
        <xdr:cNvSpPr/>
      </xdr:nvSpPr>
      <xdr:spPr>
        <a:xfrm>
          <a:off x="362231" y="2752850"/>
          <a:ext cx="1175044" cy="406118"/>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0886DF4A-4056-47A3-BAAF-B3C229BD0D71}" type="TxLink">
            <a:rPr lang="en-US" sz="1600" b="1" i="0" u="none" strike="noStrike">
              <a:solidFill>
                <a:schemeClr val="bg1"/>
              </a:solidFill>
              <a:effectLst/>
              <a:latin typeface="Calibri"/>
              <a:ea typeface="+mn-ea"/>
              <a:cs typeface="Calibri"/>
            </a:rPr>
            <a:pPr algn="l"/>
            <a:t> </a:t>
          </a:fld>
          <a:endParaRPr lang="en-US" sz="3600" b="1">
            <a:solidFill>
              <a:schemeClr val="bg1"/>
            </a:solidFill>
          </a:endParaRPr>
        </a:p>
      </xdr:txBody>
    </xdr:sp>
    <xdr:clientData/>
  </xdr:twoCellAnchor>
  <xdr:twoCellAnchor>
    <xdr:from>
      <xdr:col>0</xdr:col>
      <xdr:colOff>383845</xdr:colOff>
      <xdr:row>7</xdr:row>
      <xdr:rowOff>113853</xdr:rowOff>
    </xdr:from>
    <xdr:to>
      <xdr:col>2</xdr:col>
      <xdr:colOff>191594</xdr:colOff>
      <xdr:row>9</xdr:row>
      <xdr:rowOff>117154</xdr:rowOff>
    </xdr:to>
    <xdr:sp macro="" textlink="Dashboards!E5">
      <xdr:nvSpPr>
        <xdr:cNvPr id="9" name="TextBox 8">
          <a:extLst>
            <a:ext uri="{FF2B5EF4-FFF2-40B4-BE49-F238E27FC236}">
              <a16:creationId xmlns:a16="http://schemas.microsoft.com/office/drawing/2014/main" id="{E06F413E-1782-E014-659E-CE4F58ABBF9A}"/>
            </a:ext>
          </a:extLst>
        </xdr:cNvPr>
        <xdr:cNvSpPr txBox="1"/>
      </xdr:nvSpPr>
      <xdr:spPr>
        <a:xfrm>
          <a:off x="383845" y="1368912"/>
          <a:ext cx="1174867" cy="36188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19DE15-596F-4277-A518-A7E11B892E1B}" type="TxLink">
            <a:rPr lang="en-US" sz="1100" b="0" i="0" u="none" strike="noStrike">
              <a:solidFill>
                <a:srgbClr val="000000"/>
              </a:solidFill>
              <a:latin typeface="Calibri"/>
              <a:cs typeface="Calibri"/>
            </a:rPr>
            <a:pPr/>
            <a:t> </a:t>
          </a:fld>
          <a:endParaRPr lang="en-US" sz="1600">
            <a:solidFill>
              <a:schemeClr val="bg1"/>
            </a:solidFill>
          </a:endParaRPr>
        </a:p>
      </xdr:txBody>
    </xdr:sp>
    <xdr:clientData/>
  </xdr:twoCellAnchor>
  <xdr:twoCellAnchor>
    <xdr:from>
      <xdr:col>0</xdr:col>
      <xdr:colOff>95090</xdr:colOff>
      <xdr:row>4</xdr:row>
      <xdr:rowOff>56345</xdr:rowOff>
    </xdr:from>
    <xdr:to>
      <xdr:col>2</xdr:col>
      <xdr:colOff>504007</xdr:colOff>
      <xdr:row>7</xdr:row>
      <xdr:rowOff>170750</xdr:rowOff>
    </xdr:to>
    <xdr:grpSp>
      <xdr:nvGrpSpPr>
        <xdr:cNvPr id="18" name="Group 17">
          <a:extLst>
            <a:ext uri="{FF2B5EF4-FFF2-40B4-BE49-F238E27FC236}">
              <a16:creationId xmlns:a16="http://schemas.microsoft.com/office/drawing/2014/main" id="{ED37792B-D124-6897-827C-3D977C792CEB}"/>
            </a:ext>
          </a:extLst>
        </xdr:cNvPr>
        <xdr:cNvGrpSpPr/>
      </xdr:nvGrpSpPr>
      <xdr:grpSpPr>
        <a:xfrm>
          <a:off x="95090" y="773521"/>
          <a:ext cx="1776035" cy="652288"/>
          <a:chOff x="132240" y="-199125"/>
          <a:chExt cx="1221441" cy="727132"/>
        </a:xfrm>
      </xdr:grpSpPr>
      <xdr:sp macro="" textlink="Pivot_Tables!E138">
        <xdr:nvSpPr>
          <xdr:cNvPr id="11" name="TextBox 10">
            <a:extLst>
              <a:ext uri="{FF2B5EF4-FFF2-40B4-BE49-F238E27FC236}">
                <a16:creationId xmlns:a16="http://schemas.microsoft.com/office/drawing/2014/main" id="{BD463657-2C53-4F5C-8459-2CCE597E1F6F}"/>
              </a:ext>
            </a:extLst>
          </xdr:cNvPr>
          <xdr:cNvSpPr txBox="1"/>
        </xdr:nvSpPr>
        <xdr:spPr>
          <a:xfrm>
            <a:off x="279027" y="124593"/>
            <a:ext cx="1042147" cy="4034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7C57D6-05B1-443B-A0D4-5100D7F7BEED}" type="TxLink">
              <a:rPr lang="en-US" sz="2400" b="1" i="0" u="none" strike="noStrike">
                <a:solidFill>
                  <a:srgbClr val="FFFF00"/>
                </a:solidFill>
                <a:latin typeface="+mj-lt"/>
                <a:cs typeface="Arial"/>
              </a:rPr>
              <a:t>4062572</a:t>
            </a:fld>
            <a:endParaRPr lang="en-US" sz="23900" b="1">
              <a:solidFill>
                <a:srgbClr val="FFFF00"/>
              </a:solidFill>
              <a:latin typeface="+mj-lt"/>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DEA36781-9ECC-CA65-A982-B3E48626B13E}"/>
              </a:ext>
            </a:extLst>
          </xdr:cNvPr>
          <xdr:cNvSpPr txBox="1"/>
        </xdr:nvSpPr>
        <xdr:spPr>
          <a:xfrm>
            <a:off x="132240" y="-199125"/>
            <a:ext cx="1221441" cy="23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latin typeface="+mj-lt"/>
              </a:rPr>
              <a:t>💰Total</a:t>
            </a:r>
            <a:r>
              <a:rPr lang="en-US" sz="1400" b="1" baseline="0">
                <a:solidFill>
                  <a:schemeClr val="bg1"/>
                </a:solidFill>
                <a:latin typeface="+mj-lt"/>
              </a:rPr>
              <a:t> EV Sales</a:t>
            </a:r>
            <a:endParaRPr lang="en-US" sz="1400" b="1">
              <a:solidFill>
                <a:schemeClr val="bg1"/>
              </a:solidFill>
              <a:latin typeface="+mj-lt"/>
            </a:endParaRPr>
          </a:p>
        </xdr:txBody>
      </xdr:sp>
    </xdr:grpSp>
    <xdr:clientData/>
  </xdr:twoCellAnchor>
  <xdr:twoCellAnchor>
    <xdr:from>
      <xdr:col>0</xdr:col>
      <xdr:colOff>200884</xdr:colOff>
      <xdr:row>14</xdr:row>
      <xdr:rowOff>22340</xdr:rowOff>
    </xdr:from>
    <xdr:to>
      <xdr:col>2</xdr:col>
      <xdr:colOff>424707</xdr:colOff>
      <xdr:row>14</xdr:row>
      <xdr:rowOff>22340</xdr:rowOff>
    </xdr:to>
    <xdr:cxnSp macro="">
      <xdr:nvCxnSpPr>
        <xdr:cNvPr id="33" name="Straight Connector 32">
          <a:extLst>
            <a:ext uri="{FF2B5EF4-FFF2-40B4-BE49-F238E27FC236}">
              <a16:creationId xmlns:a16="http://schemas.microsoft.com/office/drawing/2014/main" id="{EFFC0974-5651-4E5D-8655-691B86D77C24}"/>
            </a:ext>
          </a:extLst>
        </xdr:cNvPr>
        <xdr:cNvCxnSpPr/>
      </xdr:nvCxnSpPr>
      <xdr:spPr>
        <a:xfrm>
          <a:off x="200884" y="2532458"/>
          <a:ext cx="159094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123263</xdr:colOff>
      <xdr:row>34</xdr:row>
      <xdr:rowOff>115640</xdr:rowOff>
    </xdr:from>
    <xdr:to>
      <xdr:col>2</xdr:col>
      <xdr:colOff>571498</xdr:colOff>
      <xdr:row>43</xdr:row>
      <xdr:rowOff>67235</xdr:rowOff>
    </xdr:to>
    <mc:AlternateContent xmlns:mc="http://schemas.openxmlformats.org/markup-compatibility/2006">
      <mc:Choice xmlns:a14="http://schemas.microsoft.com/office/drawing/2010/main" Requires="a14">
        <xdr:graphicFrame macro="">
          <xdr:nvGraphicFramePr>
            <xdr:cNvPr id="34" name="Buyer_Type">
              <a:extLst>
                <a:ext uri="{FF2B5EF4-FFF2-40B4-BE49-F238E27FC236}">
                  <a16:creationId xmlns:a16="http://schemas.microsoft.com/office/drawing/2014/main" id="{2B2F53B7-35B3-255E-EF5B-177147F94167}"/>
                </a:ext>
              </a:extLst>
            </xdr:cNvPr>
            <xdr:cNvGraphicFramePr/>
          </xdr:nvGraphicFramePr>
          <xdr:xfrm>
            <a:off x="0" y="0"/>
            <a:ext cx="0" cy="0"/>
          </xdr:xfrm>
          <a:graphic>
            <a:graphicData uri="http://schemas.microsoft.com/office/drawing/2010/slicer">
              <sle:slicer xmlns:sle="http://schemas.microsoft.com/office/drawing/2010/slicer" name="Buyer_Type"/>
            </a:graphicData>
          </a:graphic>
        </xdr:graphicFrame>
      </mc:Choice>
      <mc:Fallback>
        <xdr:sp macro="" textlink="">
          <xdr:nvSpPr>
            <xdr:cNvPr id="0" name=""/>
            <xdr:cNvSpPr>
              <a:spLocks noTextEdit="1"/>
            </xdr:cNvSpPr>
          </xdr:nvSpPr>
          <xdr:spPr>
            <a:xfrm>
              <a:off x="123263" y="6211640"/>
              <a:ext cx="1815353" cy="1565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197242</xdr:colOff>
      <xdr:row>8</xdr:row>
      <xdr:rowOff>89992</xdr:rowOff>
    </xdr:from>
    <xdr:to>
      <xdr:col>2</xdr:col>
      <xdr:colOff>421065</xdr:colOff>
      <xdr:row>8</xdr:row>
      <xdr:rowOff>89992</xdr:rowOff>
    </xdr:to>
    <xdr:cxnSp macro="">
      <xdr:nvCxnSpPr>
        <xdr:cNvPr id="43" name="Straight Connector 42">
          <a:extLst>
            <a:ext uri="{FF2B5EF4-FFF2-40B4-BE49-F238E27FC236}">
              <a16:creationId xmlns:a16="http://schemas.microsoft.com/office/drawing/2014/main" id="{0B861910-EC69-4083-AB4F-82978376953A}"/>
            </a:ext>
          </a:extLst>
        </xdr:cNvPr>
        <xdr:cNvCxnSpPr/>
      </xdr:nvCxnSpPr>
      <xdr:spPr>
        <a:xfrm>
          <a:off x="197242" y="1524345"/>
          <a:ext cx="159094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799</xdr:colOff>
      <xdr:row>3</xdr:row>
      <xdr:rowOff>143277</xdr:rowOff>
    </xdr:from>
    <xdr:to>
      <xdr:col>10</xdr:col>
      <xdr:colOff>530678</xdr:colOff>
      <xdr:row>17</xdr:row>
      <xdr:rowOff>8805</xdr:rowOff>
    </xdr:to>
    <xdr:graphicFrame macro="">
      <xdr:nvGraphicFramePr>
        <xdr:cNvPr id="36" name="Chart 35">
          <a:extLst>
            <a:ext uri="{FF2B5EF4-FFF2-40B4-BE49-F238E27FC236}">
              <a16:creationId xmlns:a16="http://schemas.microsoft.com/office/drawing/2014/main" id="{CFB3FC5C-62B5-4642-BF0A-4CE152286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582706</xdr:colOff>
      <xdr:row>3</xdr:row>
      <xdr:rowOff>143277</xdr:rowOff>
    </xdr:from>
    <xdr:to>
      <xdr:col>18</xdr:col>
      <xdr:colOff>414615</xdr:colOff>
      <xdr:row>17</xdr:row>
      <xdr:rowOff>10599</xdr:rowOff>
    </xdr:to>
    <xdr:graphicFrame macro="">
      <xdr:nvGraphicFramePr>
        <xdr:cNvPr id="38" name="Chart 37">
          <a:extLst>
            <a:ext uri="{FF2B5EF4-FFF2-40B4-BE49-F238E27FC236}">
              <a16:creationId xmlns:a16="http://schemas.microsoft.com/office/drawing/2014/main" id="{0889A33A-0689-40DC-815D-FC248A56C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62432</xdr:colOff>
      <xdr:row>0</xdr:row>
      <xdr:rowOff>0</xdr:rowOff>
    </xdr:from>
    <xdr:to>
      <xdr:col>21</xdr:col>
      <xdr:colOff>414618</xdr:colOff>
      <xdr:row>3</xdr:row>
      <xdr:rowOff>121156</xdr:rowOff>
    </xdr:to>
    <xdr:sp macro="" textlink="">
      <xdr:nvSpPr>
        <xdr:cNvPr id="45" name="Rectangle 44">
          <a:extLst>
            <a:ext uri="{FF2B5EF4-FFF2-40B4-BE49-F238E27FC236}">
              <a16:creationId xmlns:a16="http://schemas.microsoft.com/office/drawing/2014/main" id="{63BA26E0-35BD-B451-AFD8-8A7AC814B279}"/>
            </a:ext>
          </a:extLst>
        </xdr:cNvPr>
        <xdr:cNvSpPr/>
      </xdr:nvSpPr>
      <xdr:spPr>
        <a:xfrm>
          <a:off x="62432" y="0"/>
          <a:ext cx="14706921" cy="659038"/>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3000" b="1">
              <a:solidFill>
                <a:schemeClr val="lt1"/>
              </a:solidFill>
              <a:effectLst/>
              <a:latin typeface="+mj-lt"/>
              <a:ea typeface="+mn-ea"/>
              <a:cs typeface="+mn-cs"/>
            </a:rPr>
            <a:t>                    Electric Vehicle Adoption &amp;</a:t>
          </a:r>
          <a:r>
            <a:rPr lang="en-US" sz="3000" b="1" baseline="0">
              <a:solidFill>
                <a:schemeClr val="lt1"/>
              </a:solidFill>
              <a:effectLst/>
              <a:latin typeface="+mj-lt"/>
              <a:ea typeface="+mn-ea"/>
              <a:cs typeface="+mn-cs"/>
            </a:rPr>
            <a:t> </a:t>
          </a:r>
          <a:r>
            <a:rPr lang="en-US" sz="3000" b="1">
              <a:solidFill>
                <a:schemeClr val="lt1"/>
              </a:solidFill>
              <a:effectLst/>
              <a:latin typeface="+mj-lt"/>
              <a:ea typeface="+mn-ea"/>
              <a:cs typeface="+mn-cs"/>
            </a:rPr>
            <a:t>Infrastructure Dashboard (2021–2024)</a:t>
          </a:r>
          <a:endParaRPr lang="en-US" sz="3000">
            <a:effectLst/>
            <a:latin typeface="+mj-lt"/>
          </a:endParaRPr>
        </a:p>
        <a:p>
          <a:pPr algn="ctr"/>
          <a:endParaRPr lang="en-US" sz="3000">
            <a:latin typeface="+mj-lt"/>
          </a:endParaRPr>
        </a:p>
      </xdr:txBody>
    </xdr:sp>
    <xdr:clientData/>
  </xdr:twoCellAnchor>
  <xdr:twoCellAnchor>
    <xdr:from>
      <xdr:col>3</xdr:col>
      <xdr:colOff>800</xdr:colOff>
      <xdr:row>17</xdr:row>
      <xdr:rowOff>36820</xdr:rowOff>
    </xdr:from>
    <xdr:to>
      <xdr:col>6</xdr:col>
      <xdr:colOff>380999</xdr:colOff>
      <xdr:row>29</xdr:row>
      <xdr:rowOff>143273</xdr:rowOff>
    </xdr:to>
    <xdr:graphicFrame macro="">
      <xdr:nvGraphicFramePr>
        <xdr:cNvPr id="47" name="Chart 46">
          <a:extLst>
            <a:ext uri="{FF2B5EF4-FFF2-40B4-BE49-F238E27FC236}">
              <a16:creationId xmlns:a16="http://schemas.microsoft.com/office/drawing/2014/main" id="{C27C2810-9515-41BA-AB99-3768BAC86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203966</xdr:colOff>
      <xdr:row>19</xdr:row>
      <xdr:rowOff>141539</xdr:rowOff>
    </xdr:from>
    <xdr:to>
      <xdr:col>2</xdr:col>
      <xdr:colOff>427789</xdr:colOff>
      <xdr:row>19</xdr:row>
      <xdr:rowOff>141539</xdr:rowOff>
    </xdr:to>
    <xdr:cxnSp macro="">
      <xdr:nvCxnSpPr>
        <xdr:cNvPr id="68" name="Straight Connector 67">
          <a:extLst>
            <a:ext uri="{FF2B5EF4-FFF2-40B4-BE49-F238E27FC236}">
              <a16:creationId xmlns:a16="http://schemas.microsoft.com/office/drawing/2014/main" id="{5EACFFD0-2822-4D6C-978B-56B39C2CEFD4}"/>
            </a:ext>
          </a:extLst>
        </xdr:cNvPr>
        <xdr:cNvCxnSpPr/>
      </xdr:nvCxnSpPr>
      <xdr:spPr>
        <a:xfrm>
          <a:off x="203966" y="3548127"/>
          <a:ext cx="159094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477370</xdr:colOff>
      <xdr:row>3</xdr:row>
      <xdr:rowOff>102770</xdr:rowOff>
    </xdr:from>
    <xdr:to>
      <xdr:col>21</xdr:col>
      <xdr:colOff>413421</xdr:colOff>
      <xdr:row>44</xdr:row>
      <xdr:rowOff>112059</xdr:rowOff>
    </xdr:to>
    <xdr:sp macro="" textlink="">
      <xdr:nvSpPr>
        <xdr:cNvPr id="75" name="Rectangle 74">
          <a:extLst>
            <a:ext uri="{FF2B5EF4-FFF2-40B4-BE49-F238E27FC236}">
              <a16:creationId xmlns:a16="http://schemas.microsoft.com/office/drawing/2014/main" id="{AF13A17C-D2B2-461F-85BE-318078165939}"/>
            </a:ext>
          </a:extLst>
        </xdr:cNvPr>
        <xdr:cNvSpPr/>
      </xdr:nvSpPr>
      <xdr:spPr>
        <a:xfrm>
          <a:off x="12781429" y="640652"/>
          <a:ext cx="1986727" cy="7360348"/>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a:solidFill>
                <a:schemeClr val="accent1"/>
              </a:solidFill>
            </a:ln>
            <a:solidFill>
              <a:schemeClr val="bg1"/>
            </a:solidFill>
          </a:endParaRPr>
        </a:p>
      </xdr:txBody>
    </xdr:sp>
    <xdr:clientData/>
  </xdr:twoCellAnchor>
  <xdr:twoCellAnchor editAs="oneCell">
    <xdr:from>
      <xdr:col>18</xdr:col>
      <xdr:colOff>542684</xdr:colOff>
      <xdr:row>3</xdr:row>
      <xdr:rowOff>122807</xdr:rowOff>
    </xdr:from>
    <xdr:to>
      <xdr:col>21</xdr:col>
      <xdr:colOff>360989</xdr:colOff>
      <xdr:row>10</xdr:row>
      <xdr:rowOff>124741</xdr:rowOff>
    </xdr:to>
    <mc:AlternateContent xmlns:mc="http://schemas.openxmlformats.org/markup-compatibility/2006">
      <mc:Choice xmlns:a14="http://schemas.microsoft.com/office/drawing/2010/main" Requires="a14">
        <xdr:graphicFrame macro="">
          <xdr:nvGraphicFramePr>
            <xdr:cNvPr id="5" name="Power_Status">
              <a:extLst>
                <a:ext uri="{FF2B5EF4-FFF2-40B4-BE49-F238E27FC236}">
                  <a16:creationId xmlns:a16="http://schemas.microsoft.com/office/drawing/2014/main" id="{8D71B780-ADE6-933A-9F73-721851B0E492}"/>
                </a:ext>
              </a:extLst>
            </xdr:cNvPr>
            <xdr:cNvGraphicFramePr/>
          </xdr:nvGraphicFramePr>
          <xdr:xfrm>
            <a:off x="0" y="0"/>
            <a:ext cx="0" cy="0"/>
          </xdr:xfrm>
          <a:graphic>
            <a:graphicData uri="http://schemas.microsoft.com/office/drawing/2010/slicer">
              <sle:slicer xmlns:sle="http://schemas.microsoft.com/office/drawing/2010/slicer" name="Power_Status"/>
            </a:graphicData>
          </a:graphic>
        </xdr:graphicFrame>
      </mc:Choice>
      <mc:Fallback>
        <xdr:sp macro="" textlink="">
          <xdr:nvSpPr>
            <xdr:cNvPr id="0" name=""/>
            <xdr:cNvSpPr>
              <a:spLocks noTextEdit="1"/>
            </xdr:cNvSpPr>
          </xdr:nvSpPr>
          <xdr:spPr>
            <a:xfrm>
              <a:off x="12846743" y="660689"/>
              <a:ext cx="1868981" cy="1256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542684</xdr:colOff>
      <xdr:row>10</xdr:row>
      <xdr:rowOff>164825</xdr:rowOff>
    </xdr:from>
    <xdr:to>
      <xdr:col>21</xdr:col>
      <xdr:colOff>349783</xdr:colOff>
      <xdr:row>17</xdr:row>
      <xdr:rowOff>108795</xdr:rowOff>
    </xdr:to>
    <mc:AlternateContent xmlns:mc="http://schemas.openxmlformats.org/markup-compatibility/2006">
      <mc:Choice xmlns:a14="http://schemas.microsoft.com/office/drawing/2010/main" Requires="a14">
        <xdr:graphicFrame macro="">
          <xdr:nvGraphicFramePr>
            <xdr:cNvPr id="8" name="Income_Category">
              <a:extLst>
                <a:ext uri="{FF2B5EF4-FFF2-40B4-BE49-F238E27FC236}">
                  <a16:creationId xmlns:a16="http://schemas.microsoft.com/office/drawing/2014/main" id="{BA72C1BF-B904-BE6A-B491-501A5791108C}"/>
                </a:ext>
              </a:extLst>
            </xdr:cNvPr>
            <xdr:cNvGraphicFramePr/>
          </xdr:nvGraphicFramePr>
          <xdr:xfrm>
            <a:off x="0" y="0"/>
            <a:ext cx="0" cy="0"/>
          </xdr:xfrm>
          <a:graphic>
            <a:graphicData uri="http://schemas.microsoft.com/office/drawing/2010/slicer">
              <sle:slicer xmlns:sle="http://schemas.microsoft.com/office/drawing/2010/slicer" name="Income_Category"/>
            </a:graphicData>
          </a:graphic>
        </xdr:graphicFrame>
      </mc:Choice>
      <mc:Fallback>
        <xdr:sp macro="" textlink="">
          <xdr:nvSpPr>
            <xdr:cNvPr id="0" name=""/>
            <xdr:cNvSpPr>
              <a:spLocks noTextEdit="1"/>
            </xdr:cNvSpPr>
          </xdr:nvSpPr>
          <xdr:spPr>
            <a:xfrm>
              <a:off x="12846743" y="1957766"/>
              <a:ext cx="1857775" cy="1199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418622</xdr:colOff>
      <xdr:row>17</xdr:row>
      <xdr:rowOff>36820</xdr:rowOff>
    </xdr:from>
    <xdr:to>
      <xdr:col>13</xdr:col>
      <xdr:colOff>285750</xdr:colOff>
      <xdr:row>29</xdr:row>
      <xdr:rowOff>120066</xdr:rowOff>
    </xdr:to>
    <xdr:graphicFrame macro="">
      <xdr:nvGraphicFramePr>
        <xdr:cNvPr id="12" name="Chart 11">
          <a:extLst>
            <a:ext uri="{FF2B5EF4-FFF2-40B4-BE49-F238E27FC236}">
              <a16:creationId xmlns:a16="http://schemas.microsoft.com/office/drawing/2014/main" id="{97823AC2-85D8-4CCA-AC3E-4B487FB36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542684</xdr:colOff>
      <xdr:row>17</xdr:row>
      <xdr:rowOff>137672</xdr:rowOff>
    </xdr:from>
    <xdr:to>
      <xdr:col>21</xdr:col>
      <xdr:colOff>347383</xdr:colOff>
      <xdr:row>43</xdr:row>
      <xdr:rowOff>56028</xdr:rowOff>
    </xdr:to>
    <mc:AlternateContent xmlns:mc="http://schemas.openxmlformats.org/markup-compatibility/2006">
      <mc:Choice xmlns:a14="http://schemas.microsoft.com/office/drawing/2010/main" Requires="a14">
        <xdr:graphicFrame macro="">
          <xdr:nvGraphicFramePr>
            <xdr:cNvPr id="15" name="State">
              <a:extLst>
                <a:ext uri="{FF2B5EF4-FFF2-40B4-BE49-F238E27FC236}">
                  <a16:creationId xmlns:a16="http://schemas.microsoft.com/office/drawing/2014/main" id="{BD38DFDC-EA95-4BAB-B396-42B504AD64D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846743" y="3185672"/>
              <a:ext cx="1855375" cy="4580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800</xdr:colOff>
      <xdr:row>29</xdr:row>
      <xdr:rowOff>174489</xdr:rowOff>
    </xdr:from>
    <xdr:to>
      <xdr:col>10</xdr:col>
      <xdr:colOff>326572</xdr:colOff>
      <xdr:row>43</xdr:row>
      <xdr:rowOff>17606</xdr:rowOff>
    </xdr:to>
    <xdr:graphicFrame macro="">
      <xdr:nvGraphicFramePr>
        <xdr:cNvPr id="31" name="Chart 30">
          <a:extLst>
            <a:ext uri="{FF2B5EF4-FFF2-40B4-BE49-F238E27FC236}">
              <a16:creationId xmlns:a16="http://schemas.microsoft.com/office/drawing/2014/main" id="{F0CB9B29-F08D-4BCA-AAA5-B545CAB6A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369794</xdr:colOff>
      <xdr:row>29</xdr:row>
      <xdr:rowOff>156883</xdr:rowOff>
    </xdr:from>
    <xdr:to>
      <xdr:col>18</xdr:col>
      <xdr:colOff>414615</xdr:colOff>
      <xdr:row>43</xdr:row>
      <xdr:rowOff>33618</xdr:rowOff>
    </xdr:to>
    <xdr:graphicFrame macro="">
      <xdr:nvGraphicFramePr>
        <xdr:cNvPr id="37" name="Chart 36">
          <a:extLst>
            <a:ext uri="{FF2B5EF4-FFF2-40B4-BE49-F238E27FC236}">
              <a16:creationId xmlns:a16="http://schemas.microsoft.com/office/drawing/2014/main" id="{88CC6AFB-BEDB-40C7-9617-C32E0FB93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200884</xdr:colOff>
      <xdr:row>25</xdr:row>
      <xdr:rowOff>73277</xdr:rowOff>
    </xdr:from>
    <xdr:to>
      <xdr:col>2</xdr:col>
      <xdr:colOff>424707</xdr:colOff>
      <xdr:row>25</xdr:row>
      <xdr:rowOff>73277</xdr:rowOff>
    </xdr:to>
    <xdr:cxnSp macro="">
      <xdr:nvCxnSpPr>
        <xdr:cNvPr id="39" name="Straight Connector 38">
          <a:extLst>
            <a:ext uri="{FF2B5EF4-FFF2-40B4-BE49-F238E27FC236}">
              <a16:creationId xmlns:a16="http://schemas.microsoft.com/office/drawing/2014/main" id="{74965D1B-2000-4322-881F-402D9BC1A6C1}"/>
            </a:ext>
          </a:extLst>
        </xdr:cNvPr>
        <xdr:cNvCxnSpPr/>
      </xdr:nvCxnSpPr>
      <xdr:spPr>
        <a:xfrm>
          <a:off x="200884" y="4402822"/>
          <a:ext cx="160927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92798</xdr:colOff>
      <xdr:row>8</xdr:row>
      <xdr:rowOff>40732</xdr:rowOff>
    </xdr:from>
    <xdr:to>
      <xdr:col>2</xdr:col>
      <xdr:colOff>501715</xdr:colOff>
      <xdr:row>13</xdr:row>
      <xdr:rowOff>78438</xdr:rowOff>
    </xdr:to>
    <xdr:grpSp>
      <xdr:nvGrpSpPr>
        <xdr:cNvPr id="61" name="Group 60">
          <a:extLst>
            <a:ext uri="{FF2B5EF4-FFF2-40B4-BE49-F238E27FC236}">
              <a16:creationId xmlns:a16="http://schemas.microsoft.com/office/drawing/2014/main" id="{CADD21F3-0DCD-43D6-845A-FCD46BB2E9B4}"/>
            </a:ext>
          </a:extLst>
        </xdr:cNvPr>
        <xdr:cNvGrpSpPr/>
      </xdr:nvGrpSpPr>
      <xdr:grpSpPr>
        <a:xfrm>
          <a:off x="92798" y="1475085"/>
          <a:ext cx="1776035" cy="934177"/>
          <a:chOff x="128805" y="-404077"/>
          <a:chExt cx="1221441" cy="1039143"/>
        </a:xfrm>
      </xdr:grpSpPr>
      <xdr:sp macro="" textlink="Pivot_Tables!E139">
        <xdr:nvSpPr>
          <xdr:cNvPr id="62" name="TextBox 61">
            <a:extLst>
              <a:ext uri="{FF2B5EF4-FFF2-40B4-BE49-F238E27FC236}">
                <a16:creationId xmlns:a16="http://schemas.microsoft.com/office/drawing/2014/main" id="{C915C526-83C1-4912-7C80-E9DE3873A075}"/>
              </a:ext>
            </a:extLst>
          </xdr:cNvPr>
          <xdr:cNvSpPr txBox="1"/>
        </xdr:nvSpPr>
        <xdr:spPr>
          <a:xfrm>
            <a:off x="270514" y="231652"/>
            <a:ext cx="1042147" cy="4034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FCE580-BDC0-4924-8033-6F6519A0BDA5}" type="TxLink">
              <a:rPr lang="en-US" sz="2400" b="1" i="0" u="none" strike="noStrike">
                <a:solidFill>
                  <a:srgbClr val="EFEF03"/>
                </a:solidFill>
                <a:latin typeface="+mj-lt"/>
                <a:cs typeface="Arial"/>
              </a:rPr>
              <a:t>100% </a:t>
            </a:fld>
            <a:endParaRPr lang="en-US" sz="71400" b="1">
              <a:solidFill>
                <a:srgbClr val="EFEF03"/>
              </a:solidFill>
              <a:latin typeface="+mj-lt"/>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42FAA442-0C89-7497-B308-578FEA1D3F11}"/>
              </a:ext>
            </a:extLst>
          </xdr:cNvPr>
          <xdr:cNvSpPr txBox="1"/>
        </xdr:nvSpPr>
        <xdr:spPr>
          <a:xfrm>
            <a:off x="128805" y="-404077"/>
            <a:ext cx="1221441" cy="72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chemeClr val="bg1"/>
                </a:solidFill>
                <a:effectLst/>
                <a:latin typeface="+mn-lt"/>
                <a:ea typeface="+mn-ea"/>
                <a:cs typeface="+mn-cs"/>
              </a:rPr>
              <a:t>💰</a:t>
            </a:r>
            <a:r>
              <a:rPr lang="en-US" sz="1400" b="1">
                <a:solidFill>
                  <a:schemeClr val="bg1"/>
                </a:solidFill>
                <a:latin typeface="+mj-lt"/>
              </a:rPr>
              <a:t>Luxury Market Growth (2021–2024)</a:t>
            </a:r>
          </a:p>
        </xdr:txBody>
      </xdr:sp>
    </xdr:grpSp>
    <xdr:clientData/>
  </xdr:twoCellAnchor>
  <xdr:twoCellAnchor>
    <xdr:from>
      <xdr:col>13</xdr:col>
      <xdr:colOff>340178</xdr:colOff>
      <xdr:row>17</xdr:row>
      <xdr:rowOff>36820</xdr:rowOff>
    </xdr:from>
    <xdr:to>
      <xdr:col>18</xdr:col>
      <xdr:colOff>414615</xdr:colOff>
      <xdr:row>29</xdr:row>
      <xdr:rowOff>101656</xdr:rowOff>
    </xdr:to>
    <xdr:graphicFrame macro="">
      <xdr:nvGraphicFramePr>
        <xdr:cNvPr id="67" name="Chart 66">
          <a:extLst>
            <a:ext uri="{FF2B5EF4-FFF2-40B4-BE49-F238E27FC236}">
              <a16:creationId xmlns:a16="http://schemas.microsoft.com/office/drawing/2014/main" id="{7567E32D-32F9-4249-AEE5-40419E641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113019</xdr:colOff>
      <xdr:row>14</xdr:row>
      <xdr:rowOff>7037</xdr:rowOff>
    </xdr:from>
    <xdr:to>
      <xdr:col>2</xdr:col>
      <xdr:colOff>521936</xdr:colOff>
      <xdr:row>19</xdr:row>
      <xdr:rowOff>54208</xdr:rowOff>
    </xdr:to>
    <xdr:grpSp>
      <xdr:nvGrpSpPr>
        <xdr:cNvPr id="69" name="Group 68">
          <a:extLst>
            <a:ext uri="{FF2B5EF4-FFF2-40B4-BE49-F238E27FC236}">
              <a16:creationId xmlns:a16="http://schemas.microsoft.com/office/drawing/2014/main" id="{D301B6AA-B32D-4640-8ABE-E37552B871F7}"/>
            </a:ext>
          </a:extLst>
        </xdr:cNvPr>
        <xdr:cNvGrpSpPr/>
      </xdr:nvGrpSpPr>
      <xdr:grpSpPr>
        <a:xfrm>
          <a:off x="113019" y="2517155"/>
          <a:ext cx="1776035" cy="943641"/>
          <a:chOff x="178480" y="-361518"/>
          <a:chExt cx="1221441" cy="1051916"/>
        </a:xfrm>
      </xdr:grpSpPr>
      <xdr:sp macro="" textlink="Pivot_Tables!E140">
        <xdr:nvSpPr>
          <xdr:cNvPr id="70" name="TextBox 69">
            <a:extLst>
              <a:ext uri="{FF2B5EF4-FFF2-40B4-BE49-F238E27FC236}">
                <a16:creationId xmlns:a16="http://schemas.microsoft.com/office/drawing/2014/main" id="{87B8C63E-BEF3-5907-E522-7C94DC557A7F}"/>
              </a:ext>
            </a:extLst>
          </xdr:cNvPr>
          <xdr:cNvSpPr txBox="1"/>
        </xdr:nvSpPr>
        <xdr:spPr>
          <a:xfrm>
            <a:off x="255907" y="286984"/>
            <a:ext cx="1042147" cy="4034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4B938C-40B5-4B39-8E5B-CFA298598F5D}" type="TxLink">
              <a:rPr lang="en-US" sz="2400" b="1" i="0" u="none" strike="noStrike">
                <a:solidFill>
                  <a:srgbClr val="EFEF03"/>
                </a:solidFill>
                <a:latin typeface="+mj-lt"/>
                <a:cs typeface="Arial"/>
              </a:rPr>
              <a:t>17.78%</a:t>
            </a:fld>
            <a:endParaRPr lang="en-US" sz="71400" b="1">
              <a:solidFill>
                <a:srgbClr val="EFEF03"/>
              </a:solidFill>
              <a:latin typeface="+mj-lt"/>
              <a:cs typeface="Times New Roman" panose="02020603050405020304" pitchFamily="18" charset="0"/>
            </a:endParaRPr>
          </a:p>
        </xdr:txBody>
      </xdr:sp>
      <xdr:sp macro="" textlink="">
        <xdr:nvSpPr>
          <xdr:cNvPr id="71" name="TextBox 70">
            <a:extLst>
              <a:ext uri="{FF2B5EF4-FFF2-40B4-BE49-F238E27FC236}">
                <a16:creationId xmlns:a16="http://schemas.microsoft.com/office/drawing/2014/main" id="{D571A846-5D81-365F-14D3-71995E3397A7}"/>
              </a:ext>
            </a:extLst>
          </xdr:cNvPr>
          <xdr:cNvSpPr txBox="1"/>
        </xdr:nvSpPr>
        <xdr:spPr>
          <a:xfrm>
            <a:off x="178480" y="-361518"/>
            <a:ext cx="1221441" cy="716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latin typeface="+mj-lt"/>
              </a:rPr>
              <a:t>💰EVs Sold in Power-Deficit State</a:t>
            </a:r>
          </a:p>
        </xdr:txBody>
      </xdr:sp>
    </xdr:grpSp>
    <xdr:clientData/>
  </xdr:twoCellAnchor>
  <xdr:twoCellAnchor>
    <xdr:from>
      <xdr:col>0</xdr:col>
      <xdr:colOff>86124</xdr:colOff>
      <xdr:row>19</xdr:row>
      <xdr:rowOff>125820</xdr:rowOff>
    </xdr:from>
    <xdr:to>
      <xdr:col>2</xdr:col>
      <xdr:colOff>495041</xdr:colOff>
      <xdr:row>24</xdr:row>
      <xdr:rowOff>172990</xdr:rowOff>
    </xdr:to>
    <xdr:grpSp>
      <xdr:nvGrpSpPr>
        <xdr:cNvPr id="76" name="Group 75">
          <a:extLst>
            <a:ext uri="{FF2B5EF4-FFF2-40B4-BE49-F238E27FC236}">
              <a16:creationId xmlns:a16="http://schemas.microsoft.com/office/drawing/2014/main" id="{942FF7C3-3C7A-4DF2-89D3-E91D3E12FFD7}"/>
            </a:ext>
          </a:extLst>
        </xdr:cNvPr>
        <xdr:cNvGrpSpPr/>
      </xdr:nvGrpSpPr>
      <xdr:grpSpPr>
        <a:xfrm>
          <a:off x="86124" y="3532408"/>
          <a:ext cx="1776035" cy="943641"/>
          <a:chOff x="178480" y="-361518"/>
          <a:chExt cx="1221441" cy="1051916"/>
        </a:xfrm>
      </xdr:grpSpPr>
      <xdr:sp macro="" textlink="Pivot_Tables!E141">
        <xdr:nvSpPr>
          <xdr:cNvPr id="77" name="TextBox 76">
            <a:extLst>
              <a:ext uri="{FF2B5EF4-FFF2-40B4-BE49-F238E27FC236}">
                <a16:creationId xmlns:a16="http://schemas.microsoft.com/office/drawing/2014/main" id="{5BC0DE9E-FF5C-3FAF-59C9-D48EBF26A816}"/>
              </a:ext>
            </a:extLst>
          </xdr:cNvPr>
          <xdr:cNvSpPr txBox="1"/>
        </xdr:nvSpPr>
        <xdr:spPr>
          <a:xfrm>
            <a:off x="302146" y="286984"/>
            <a:ext cx="1042147" cy="4034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001368-C708-4B16-89C9-71DDA0562A0A}" type="TxLink">
              <a:rPr lang="en-US" sz="2400" b="1" i="0" u="none" strike="noStrike">
                <a:solidFill>
                  <a:srgbClr val="EFEF03"/>
                </a:solidFill>
                <a:latin typeface="+mj-lt"/>
                <a:cs typeface="Arial"/>
              </a:rPr>
              <a:t>57</a:t>
            </a:fld>
            <a:endParaRPr lang="en-US" sz="213200" b="1">
              <a:solidFill>
                <a:srgbClr val="EFEF03"/>
              </a:solidFill>
              <a:latin typeface="+mj-lt"/>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2531EEC7-D358-AE9F-E1F2-0F12B899513E}"/>
              </a:ext>
            </a:extLst>
          </xdr:cNvPr>
          <xdr:cNvSpPr txBox="1"/>
        </xdr:nvSpPr>
        <xdr:spPr>
          <a:xfrm>
            <a:off x="178480" y="-361518"/>
            <a:ext cx="1221441" cy="716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a:solidFill>
                  <a:schemeClr val="bg1"/>
                </a:solidFill>
                <a:latin typeface="+mj-lt"/>
              </a:rPr>
              <a:t>💰Readiness Gap: Best vs Worst State</a:t>
            </a:r>
          </a:p>
        </xdr:txBody>
      </xdr:sp>
    </xdr:grpSp>
    <xdr:clientData/>
  </xdr:twoCellAnchor>
  <xdr:twoCellAnchor editAs="oneCell">
    <xdr:from>
      <xdr:col>21</xdr:col>
      <xdr:colOff>0</xdr:colOff>
      <xdr:row>7</xdr:row>
      <xdr:rowOff>0</xdr:rowOff>
    </xdr:from>
    <xdr:to>
      <xdr:col>21</xdr:col>
      <xdr:colOff>304800</xdr:colOff>
      <xdr:row>8</xdr:row>
      <xdr:rowOff>123825</xdr:rowOff>
    </xdr:to>
    <xdr:sp macro="" textlink="">
      <xdr:nvSpPr>
        <xdr:cNvPr id="1026" name="AutoShape 2" descr="Eco-friendly electric vehicle logo design">
          <a:extLst>
            <a:ext uri="{FF2B5EF4-FFF2-40B4-BE49-F238E27FC236}">
              <a16:creationId xmlns:a16="http://schemas.microsoft.com/office/drawing/2014/main" id="{90D98109-8AFF-A64F-932D-FA0CADD3BDB4}"/>
            </a:ext>
          </a:extLst>
        </xdr:cNvPr>
        <xdr:cNvSpPr>
          <a:spLocks noChangeAspect="1" noChangeArrowheads="1"/>
        </xdr:cNvSpPr>
      </xdr:nvSpPr>
      <xdr:spPr bwMode="auto">
        <a:xfrm>
          <a:off x="14401800" y="126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138113</xdr:colOff>
      <xdr:row>0</xdr:row>
      <xdr:rowOff>0</xdr:rowOff>
    </xdr:from>
    <xdr:to>
      <xdr:col>2</xdr:col>
      <xdr:colOff>248334</xdr:colOff>
      <xdr:row>5</xdr:row>
      <xdr:rowOff>42862</xdr:rowOff>
    </xdr:to>
    <xdr:pic>
      <xdr:nvPicPr>
        <xdr:cNvPr id="90" name="Picture 89">
          <a:extLst>
            <a:ext uri="{FF2B5EF4-FFF2-40B4-BE49-F238E27FC236}">
              <a16:creationId xmlns:a16="http://schemas.microsoft.com/office/drawing/2014/main" id="{968F412A-A7CA-5C8E-C6E5-A5816810C34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8113" y="0"/>
          <a:ext cx="1481821" cy="947737"/>
        </a:xfrm>
        <a:prstGeom prst="rect">
          <a:avLst/>
        </a:prstGeom>
      </xdr:spPr>
    </xdr:pic>
    <xdr:clientData/>
  </xdr:twoCellAnchor>
  <xdr:twoCellAnchor>
    <xdr:from>
      <xdr:col>0</xdr:col>
      <xdr:colOff>67237</xdr:colOff>
      <xdr:row>43</xdr:row>
      <xdr:rowOff>78442</xdr:rowOff>
    </xdr:from>
    <xdr:to>
      <xdr:col>21</xdr:col>
      <xdr:colOff>414618</xdr:colOff>
      <xdr:row>45</xdr:row>
      <xdr:rowOff>0</xdr:rowOff>
    </xdr:to>
    <xdr:sp macro="" textlink="">
      <xdr:nvSpPr>
        <xdr:cNvPr id="92" name="Rectangle 91">
          <a:extLst>
            <a:ext uri="{FF2B5EF4-FFF2-40B4-BE49-F238E27FC236}">
              <a16:creationId xmlns:a16="http://schemas.microsoft.com/office/drawing/2014/main" id="{7018C867-DC3F-41EA-A28C-F6962CB8A273}"/>
            </a:ext>
          </a:extLst>
        </xdr:cNvPr>
        <xdr:cNvSpPr/>
      </xdr:nvSpPr>
      <xdr:spPr>
        <a:xfrm rot="5400000">
          <a:off x="7278222" y="577104"/>
          <a:ext cx="280146" cy="14702116"/>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a:solidFill>
                <a:schemeClr val="accent1"/>
              </a:solidFill>
            </a:ln>
            <a:solidFill>
              <a:schemeClr val="bg1"/>
            </a:solidFill>
          </a:endParaRPr>
        </a:p>
      </xdr:txBody>
    </xdr:sp>
    <xdr:clientData/>
  </xdr:twoCellAnchor>
  <xdr:twoCellAnchor>
    <xdr:from>
      <xdr:col>0</xdr:col>
      <xdr:colOff>459442</xdr:colOff>
      <xdr:row>43</xdr:row>
      <xdr:rowOff>78440</xdr:rowOff>
    </xdr:from>
    <xdr:to>
      <xdr:col>21</xdr:col>
      <xdr:colOff>280148</xdr:colOff>
      <xdr:row>44</xdr:row>
      <xdr:rowOff>179293</xdr:rowOff>
    </xdr:to>
    <xdr:sp macro="" textlink="">
      <xdr:nvSpPr>
        <xdr:cNvPr id="93" name="TextBox 92">
          <a:extLst>
            <a:ext uri="{FF2B5EF4-FFF2-40B4-BE49-F238E27FC236}">
              <a16:creationId xmlns:a16="http://schemas.microsoft.com/office/drawing/2014/main" id="{DE74A813-C542-FCCD-8F71-C48C2F49180E}"/>
            </a:ext>
          </a:extLst>
        </xdr:cNvPr>
        <xdr:cNvSpPr txBox="1"/>
      </xdr:nvSpPr>
      <xdr:spPr>
        <a:xfrm>
          <a:off x="459442" y="7788087"/>
          <a:ext cx="14175441"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u="sng">
              <a:solidFill>
                <a:schemeClr val="bg1"/>
              </a:solidFill>
            </a:rPr>
            <a:t>Source: EV Sales: VAHAN Dashboard (Clean Mobility Shift, 2021–2024) • Electricity Supply: CEA General Review (2022–2025) • Per Capita Income: RBI Handbook of Statistics (2024); analysis, classifications, and visualizations by Sahib Hussain.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B HUSSAIN" refreshedDate="46205.588166435184" createdVersion="8" refreshedVersion="8" minRefreshableVersion="3" recordCount="132" xr:uid="{1F71833D-9CD8-4D9C-A637-3988C3A333AD}">
  <cacheSource type="worksheet">
    <worksheetSource name="Master_query"/>
  </cacheSource>
  <cacheFields count="24">
    <cacheField name="Year" numFmtId="0">
      <sharedItems count="4">
        <s v="2021"/>
        <s v="2022"/>
        <s v="2023"/>
        <s v="2024"/>
      </sharedItems>
    </cacheField>
    <cacheField name="State" numFmtId="0">
      <sharedItems count="33">
        <s v="Andaman &amp; Nicobar Island"/>
        <s v="Andhra Pradesh"/>
        <s v="Arunachal Pradesh"/>
        <s v="Assam"/>
        <s v="Bihar"/>
        <s v="Chandigarh"/>
        <s v="Chhattisgarh"/>
        <s v="Delhi"/>
        <s v="Goa"/>
        <s v="Gujarat"/>
        <s v="Haryana"/>
        <s v="Himachal Pradesh"/>
        <s v="Jammu and Kashmir"/>
        <s v="Jharkhand"/>
        <s v="Karnataka"/>
        <s v="Kerala"/>
        <s v="Madhya Pradesh"/>
        <s v="Maharashtra"/>
        <s v="Manipur"/>
        <s v="Meghalaya"/>
        <s v="Mizoram"/>
        <s v="Nagaland"/>
        <s v="Odisha"/>
        <s v="Puducherry"/>
        <s v="Punjab"/>
        <s v="Rajasthan"/>
        <s v="Sikkim"/>
        <s v="Tamil Nadu"/>
        <s v="Telangana"/>
        <s v="Tripura"/>
        <s v="Uttar Pradesh"/>
        <s v="Uttarakhand"/>
        <s v="West Bengal"/>
      </sharedItems>
    </cacheField>
    <cacheField name="2W EV Sales" numFmtId="0">
      <sharedItems containsSemiMixedTypes="0" containsString="0" containsNumber="1" containsInteger="1" minValue="0" maxValue="167773"/>
    </cacheField>
    <cacheField name="2W EV Penetration" numFmtId="10">
      <sharedItems containsSemiMixedTypes="0" containsString="0" containsNumber="1" minValue="0" maxValue="0.1575"/>
    </cacheField>
    <cacheField name="3W EV Sales" numFmtId="0">
      <sharedItems containsSemiMixedTypes="0" containsString="0" containsNumber="1" containsInteger="1" minValue="0" maxValue="232595"/>
    </cacheField>
    <cacheField name="3W EV Penetration" numFmtId="10">
      <sharedItems containsSemiMixedTypes="0" containsString="0" containsNumber="1" minValue="0" maxValue="0.96220000000000006"/>
    </cacheField>
    <cacheField name="4W EV Sales" numFmtId="0">
      <sharedItems containsSemiMixedTypes="0" containsString="0" containsNumber="1" containsInteger="1" minValue="0" maxValue="16893" count="108">
        <n v="22"/>
        <n v="7"/>
        <n v="14"/>
        <n v="31"/>
        <n v="387"/>
        <n v="747"/>
        <n v="1623"/>
        <n v="3600"/>
        <n v="0"/>
        <n v="1"/>
        <n v="18"/>
        <n v="82"/>
        <n v="269"/>
        <n v="254"/>
        <n v="61"/>
        <n v="135"/>
        <n v="587"/>
        <n v="649"/>
        <n v="111"/>
        <n v="272"/>
        <n v="956"/>
        <n v="1044"/>
        <n v="70"/>
        <n v="364"/>
        <n v="1171"/>
        <n v="1159"/>
        <n v="1959"/>
        <n v="5642"/>
        <n v="8177"/>
        <n v="10525"/>
        <n v="189"/>
        <n v="624"/>
        <n v="962"/>
        <n v="857"/>
        <n v="2805"/>
        <n v="6573"/>
        <n v="8508"/>
        <n v="60"/>
        <n v="831"/>
        <n v="2656"/>
        <n v="769"/>
        <n v="12"/>
        <n v="43"/>
        <n v="152"/>
        <n v="336"/>
        <n v="5"/>
        <n v="48"/>
        <n v="143"/>
        <n v="304"/>
        <n v="157"/>
        <n v="452"/>
        <n v="409"/>
        <n v="1487"/>
        <n v="4331"/>
        <n v="11658"/>
        <n v="11642"/>
        <n v="1644"/>
        <n v="3821"/>
        <n v="8988"/>
        <n v="6849"/>
        <n v="192"/>
        <n v="534"/>
        <n v="1460"/>
        <n v="2528"/>
        <n v="3740"/>
        <n v="11692"/>
        <n v="13750"/>
        <n v="16893"/>
        <n v="30"/>
        <n v="66"/>
        <n v="3"/>
        <n v="11"/>
        <n v="20"/>
        <n v="55"/>
        <n v="10"/>
        <n v="8"/>
        <n v="438"/>
        <n v="1337"/>
        <n v="3057"/>
        <n v="9"/>
        <n v="44"/>
        <n v="90"/>
        <n v="85"/>
        <n v="33"/>
        <n v="42"/>
        <n v="780"/>
        <n v="2533"/>
        <n v="554"/>
        <n v="1468"/>
        <n v="4490"/>
        <n v="8451"/>
        <n v="949"/>
        <n v="2456"/>
        <n v="6019"/>
        <n v="9165"/>
        <n v="3320"/>
        <n v="79"/>
        <n v="210"/>
        <n v="4580"/>
        <n v="6577"/>
        <n v="122"/>
        <n v="385"/>
        <n v="488"/>
        <n v="822"/>
        <n v="334"/>
        <n v="953"/>
        <n v="2602"/>
        <n v="1745"/>
      </sharedItems>
    </cacheField>
    <cacheField name="4W EV Penetration" numFmtId="10">
      <sharedItems containsSemiMixedTypes="0" containsString="0" containsNumber="1" minValue="0" maxValue="0.16370000000000001"/>
    </cacheField>
    <cacheField name="Bus EV Sales" numFmtId="0">
      <sharedItems containsSemiMixedTypes="0" containsString="0" containsNumber="1" containsInteger="1" minValue="0" maxValue="1121"/>
    </cacheField>
    <cacheField name="Bus EV Penetration" numFmtId="10">
      <sharedItems containsSemiMixedTypes="0" containsString="0" containsNumber="1" minValue="0" maxValue="0.93020000000000003"/>
    </cacheField>
    <cacheField name="Others EV Sales" numFmtId="0">
      <sharedItems containsSemiMixedTypes="0" containsString="0" containsNumber="1" containsInteger="1" minValue="0" maxValue="2179"/>
    </cacheField>
    <cacheField name="Others EV Penetration" numFmtId="10">
      <sharedItems containsSemiMixedTypes="0" containsString="0" containsNumber="1" minValue="0" maxValue="6.8900000000000003E-2"/>
    </cacheField>
    <cacheField name="Peak Demand (MW)" numFmtId="0">
      <sharedItems containsSemiMixedTypes="0" containsString="0" containsNumber="1" minValue="58" maxValue="31178"/>
    </cacheField>
    <cacheField name="Peak Met (MW)" numFmtId="0">
      <sharedItems containsSemiMixedTypes="0" containsString="0" containsNumber="1" minValue="54" maxValue="28846"/>
    </cacheField>
    <cacheField name="Demand Not Met (MW)" numFmtId="0">
      <sharedItems containsSemiMixedTypes="0" containsString="0" containsNumber="1" containsInteger="1" minValue="0" maxValue="3182"/>
    </cacheField>
    <cacheField name="Demand Not Met (%)" numFmtId="10">
      <sharedItems containsSemiMixedTypes="0" containsString="0" containsNumber="1" minValue="0" maxValue="0.18290000000000001"/>
    </cacheField>
    <cacheField name="Per_Capita_Income" numFmtId="0">
      <sharedItems containsSemiMixedTypes="0" containsString="0" containsNumber="1" containsInteger="1" minValue="0" maxValue="587743" count="125">
        <n v="205368"/>
        <n v="229570"/>
        <n v="258151"/>
        <n v="0"/>
        <n v="168063"/>
        <n v="197214"/>
        <n v="219881"/>
        <n v="242479"/>
        <n v="181537"/>
        <n v="190851"/>
        <n v="199992"/>
        <n v="86947"/>
        <n v="103371"/>
        <n v="119308"/>
        <n v="135787"/>
        <n v="42128"/>
        <n v="47296"/>
        <n v="53478"/>
        <n v="60337"/>
        <n v="290417"/>
        <n v="337406"/>
        <n v="399654"/>
        <n v="106117"/>
        <n v="122934"/>
        <n v="137329"/>
        <n v="147361"/>
        <n v="322311"/>
        <n v="376217"/>
        <n v="430120"/>
        <n v="461910"/>
        <n v="423047"/>
        <n v="459094"/>
        <n v="492648"/>
        <n v="207324"/>
        <n v="241584"/>
        <n v="272451"/>
        <n v="224587"/>
        <n v="264729"/>
        <n v="296592"/>
        <n v="325759"/>
        <n v="173152"/>
        <n v="195795"/>
        <n v="218788"/>
        <n v="235199"/>
        <n v="101645"/>
        <n v="112898"/>
        <n v="130492"/>
        <n v="142138"/>
        <n v="69963"/>
        <n v="88500"/>
        <n v="96449"/>
        <n v="105274"/>
        <n v="221781"/>
        <n v="266866"/>
        <n v="304474"/>
        <n v="332926"/>
        <n v="194432"/>
        <n v="230280"/>
        <n v="252662"/>
        <n v="281001"/>
        <n v="102007"/>
        <n v="116689"/>
        <n v="132010"/>
        <n v="142565"/>
        <n v="182454"/>
        <n v="219573"/>
        <n v="252389"/>
        <n v="277603"/>
        <n v="75784"/>
        <n v="98826"/>
        <n v="111853"/>
        <n v="90751"/>
        <n v="107971"/>
        <n v="123896"/>
        <n v="136948"/>
        <n v="173521"/>
        <n v="190965"/>
        <n v="215144"/>
        <n v="119781"/>
        <n v="127225"/>
        <n v="145537"/>
        <n v="103211"/>
        <n v="134091"/>
        <n v="143768"/>
        <n v="163101"/>
        <n v="208862"/>
        <n v="231557"/>
        <n v="245180"/>
        <n v="262166"/>
        <n v="150620"/>
        <n v="170276"/>
        <n v="181678"/>
        <n v="196505"/>
        <n v="114925"/>
        <n v="134060"/>
        <n v="150653"/>
        <n v="167964"/>
        <n v="415045"/>
        <n v="466518"/>
        <n v="520466"/>
        <n v="587743"/>
        <n v="209628"/>
        <n v="242339"/>
        <n v="277802"/>
        <n v="315220"/>
        <n v="225734"/>
        <n v="269000"/>
        <n v="312522"/>
        <n v="356564"/>
        <n v="118401"/>
        <n v="137032"/>
        <n v="157364"/>
        <n v="177723"/>
        <n v="61598"/>
        <n v="74055"/>
        <n v="84126"/>
        <n v="93514"/>
        <n v="174526"/>
        <n v="205246"/>
        <n v="230994"/>
        <n v="260201"/>
        <n v="105109"/>
        <n v="121904"/>
        <n v="139442"/>
        <n v="154119"/>
      </sharedItems>
    </cacheField>
    <cacheField name="Total_EV_Sales" numFmtId="0">
      <sharedItems containsSemiMixedTypes="0" containsString="0" containsNumber="1" containsInteger="1" minValue="0" maxValue="277300"/>
    </cacheField>
    <cacheField name="Ratio_3W_to_4W" numFmtId="0">
      <sharedItems containsString="0" containsBlank="1" containsNumber="1" minValue="0" maxValue="100"/>
    </cacheField>
    <cacheField name="Buyer_Type" numFmtId="0">
      <sharedItems count="4">
        <s v="Luxury"/>
        <s v="Mixed"/>
        <s v="No Data"/>
        <s v="Necessity"/>
      </sharedItems>
    </cacheField>
    <cacheField name="Income_Category" numFmtId="0">
      <sharedItems count="3">
        <s v="High"/>
        <s v="Low"/>
        <s v="Middle"/>
      </sharedItems>
    </cacheField>
    <cacheField name="Power_Status" numFmtId="0">
      <sharedItems count="3">
        <s v="High Risk"/>
        <s v="Stable"/>
        <s v="Moderate Risk"/>
      </sharedItems>
    </cacheField>
    <cacheField name="EV_Readiness_Score" numFmtId="0">
      <sharedItems containsSemiMixedTypes="0" containsString="0" containsNumber="1" containsInteger="1" minValue="36" maxValue="93"/>
    </cacheField>
    <cacheField name="4W_TORATIO_ALLW" numFmtId="0" formula="IF('4W EV Sales'=0, 0, ROUND(('4W EV Sales'/Total_EV_Sales)*100, 2))" databaseField="0"/>
  </cacheFields>
  <extLst>
    <ext xmlns:x14="http://schemas.microsoft.com/office/spreadsheetml/2009/9/main" uri="{725AE2AE-9491-48be-B2B4-4EB974FC3084}">
      <x14:pivotCacheDefinition pivotCacheId="1688252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x v="0"/>
    <x v="0"/>
    <n v="0"/>
    <n v="0"/>
    <n v="30"/>
    <n v="0.1961"/>
    <x v="0"/>
    <n v="1.8100000000000002E-2"/>
    <n v="40"/>
    <n v="0.93020000000000003"/>
    <n v="0"/>
    <n v="0"/>
    <n v="58"/>
    <n v="54"/>
    <n v="4"/>
    <n v="6.9000000000000006E-2"/>
    <x v="0"/>
    <n v="92"/>
    <n v="1.36"/>
    <x v="0"/>
    <x v="0"/>
    <x v="0"/>
    <n v="71"/>
  </r>
  <r>
    <x v="1"/>
    <x v="0"/>
    <n v="16"/>
    <n v="3.3999999999999998E-3"/>
    <n v="0"/>
    <n v="0"/>
    <x v="1"/>
    <n v="4.3E-3"/>
    <n v="0"/>
    <n v="0"/>
    <n v="0"/>
    <n v="0"/>
    <n v="60.1"/>
    <n v="60.1"/>
    <n v="0"/>
    <n v="0"/>
    <x v="1"/>
    <n v="23"/>
    <n v="0"/>
    <x v="0"/>
    <x v="0"/>
    <x v="1"/>
    <n v="61"/>
  </r>
  <r>
    <x v="2"/>
    <x v="0"/>
    <n v="12"/>
    <n v="2.3999999999999998E-3"/>
    <n v="0"/>
    <n v="0"/>
    <x v="2"/>
    <n v="7.4000000000000003E-3"/>
    <n v="0"/>
    <n v="0"/>
    <n v="0"/>
    <n v="0"/>
    <n v="62.3"/>
    <n v="62.3"/>
    <n v="0"/>
    <n v="0"/>
    <x v="2"/>
    <n v="26"/>
    <n v="0"/>
    <x v="0"/>
    <x v="0"/>
    <x v="1"/>
    <n v="71"/>
  </r>
  <r>
    <x v="3"/>
    <x v="0"/>
    <n v="25"/>
    <n v="7.3000000000000001E-3"/>
    <n v="0"/>
    <n v="0"/>
    <x v="3"/>
    <n v="2.6700000000000002E-2"/>
    <n v="0"/>
    <n v="0"/>
    <n v="1"/>
    <n v="6.7999999999999996E-3"/>
    <n v="65"/>
    <n v="60"/>
    <n v="5"/>
    <n v="7.6999999999999999E-2"/>
    <x v="3"/>
    <n v="57"/>
    <n v="0"/>
    <x v="0"/>
    <x v="1"/>
    <x v="0"/>
    <n v="57"/>
  </r>
  <r>
    <x v="0"/>
    <x v="1"/>
    <n v="7784"/>
    <n v="1.06E-2"/>
    <n v="1231"/>
    <n v="7.6300000000000007E-2"/>
    <x v="4"/>
    <n v="4.3E-3"/>
    <n v="0"/>
    <n v="0"/>
    <n v="138"/>
    <n v="1.6999999999999999E-3"/>
    <n v="11193"/>
    <n v="11193"/>
    <n v="0"/>
    <n v="0"/>
    <x v="4"/>
    <n v="9540"/>
    <n v="3.18"/>
    <x v="1"/>
    <x v="2"/>
    <x v="1"/>
    <n v="57"/>
  </r>
  <r>
    <x v="1"/>
    <x v="1"/>
    <n v="27303"/>
    <n v="4.2200000000000001E-2"/>
    <n v="608"/>
    <n v="2.93E-2"/>
    <x v="5"/>
    <n v="8.6999999999999994E-3"/>
    <n v="26"/>
    <n v="1.06E-2"/>
    <n v="322"/>
    <n v="4.4999999999999997E-3"/>
    <n v="12551"/>
    <n v="12032"/>
    <n v="519"/>
    <n v="4.1399999999999999E-2"/>
    <x v="5"/>
    <n v="29006"/>
    <n v="0.81"/>
    <x v="0"/>
    <x v="2"/>
    <x v="2"/>
    <n v="68"/>
  </r>
  <r>
    <x v="2"/>
    <x v="1"/>
    <n v="28434"/>
    <n v="4.24E-2"/>
    <n v="1062"/>
    <n v="7.2499999999999995E-2"/>
    <x v="6"/>
    <n v="1.77E-2"/>
    <n v="90"/>
    <n v="7.0800000000000002E-2"/>
    <n v="297"/>
    <n v="5.8999999999999999E-3"/>
    <n v="13167"/>
    <n v="12293"/>
    <n v="874"/>
    <n v="6.6400000000000001E-2"/>
    <x v="6"/>
    <n v="31506"/>
    <n v="0.65"/>
    <x v="0"/>
    <x v="0"/>
    <x v="0"/>
    <n v="72"/>
  </r>
  <r>
    <x v="3"/>
    <x v="1"/>
    <n v="33425"/>
    <n v="0.10009999999999999"/>
    <n v="3256"/>
    <n v="0.1467"/>
    <x v="7"/>
    <n v="8.1600000000000006E-2"/>
    <n v="17"/>
    <n v="1.2800000000000001E-2"/>
    <n v="199"/>
    <n v="5.4999999999999997E-3"/>
    <n v="13237"/>
    <n v="13237"/>
    <n v="0"/>
    <n v="0"/>
    <x v="7"/>
    <n v="40497"/>
    <n v="0.9"/>
    <x v="0"/>
    <x v="0"/>
    <x v="1"/>
    <n v="76"/>
  </r>
  <r>
    <x v="0"/>
    <x v="2"/>
    <n v="2"/>
    <n v="2.0000000000000001E-4"/>
    <n v="0"/>
    <n v="0"/>
    <x v="8"/>
    <n v="0"/>
    <n v="0"/>
    <n v="0"/>
    <n v="0"/>
    <n v="0"/>
    <n v="158"/>
    <n v="149"/>
    <n v="9"/>
    <n v="5.7000000000000002E-2"/>
    <x v="8"/>
    <n v="2"/>
    <m/>
    <x v="2"/>
    <x v="2"/>
    <x v="0"/>
    <n v="45"/>
  </r>
  <r>
    <x v="1"/>
    <x v="2"/>
    <n v="1"/>
    <n v="1E-4"/>
    <n v="0"/>
    <n v="0"/>
    <x v="9"/>
    <n v="1E-4"/>
    <n v="0"/>
    <n v="0"/>
    <n v="0"/>
    <n v="0"/>
    <n v="197"/>
    <n v="168"/>
    <n v="29"/>
    <n v="0.1472"/>
    <x v="9"/>
    <n v="2"/>
    <n v="0"/>
    <x v="0"/>
    <x v="2"/>
    <x v="0"/>
    <n v="43"/>
  </r>
  <r>
    <x v="2"/>
    <x v="2"/>
    <n v="3"/>
    <n v="2.0000000000000001E-4"/>
    <n v="0"/>
    <n v="0"/>
    <x v="10"/>
    <n v="1.4E-3"/>
    <n v="0"/>
    <n v="0"/>
    <n v="0"/>
    <n v="0"/>
    <n v="167"/>
    <n v="167"/>
    <n v="0"/>
    <n v="0"/>
    <x v="10"/>
    <n v="21"/>
    <n v="0"/>
    <x v="0"/>
    <x v="2"/>
    <x v="1"/>
    <n v="52"/>
  </r>
  <r>
    <x v="3"/>
    <x v="2"/>
    <n v="33"/>
    <n v="4.7000000000000002E-3"/>
    <n v="1"/>
    <n v="2.0400000000000001E-2"/>
    <x v="3"/>
    <n v="3.7000000000000002E-3"/>
    <n v="0"/>
    <n v="0"/>
    <n v="1"/>
    <n v="5.0000000000000001E-4"/>
    <n v="186"/>
    <n v="186"/>
    <n v="0"/>
    <n v="2E-3"/>
    <x v="3"/>
    <n v="66"/>
    <n v="0.03"/>
    <x v="0"/>
    <x v="1"/>
    <x v="2"/>
    <n v="44"/>
  </r>
  <r>
    <x v="0"/>
    <x v="3"/>
    <n v="378"/>
    <n v="1.1000000000000001E-3"/>
    <n v="15247"/>
    <n v="0.72"/>
    <x v="1"/>
    <n v="1E-4"/>
    <n v="0"/>
    <n v="0"/>
    <n v="1"/>
    <n v="0"/>
    <n v="2072"/>
    <n v="1987"/>
    <n v="85"/>
    <n v="4.1000000000000002E-2"/>
    <x v="11"/>
    <n v="15633"/>
    <n v="100"/>
    <x v="3"/>
    <x v="1"/>
    <x v="2"/>
    <n v="40"/>
  </r>
  <r>
    <x v="1"/>
    <x v="3"/>
    <n v="1902"/>
    <n v="5.4000000000000003E-3"/>
    <n v="38729"/>
    <n v="0.83730000000000004"/>
    <x v="11"/>
    <n v="1E-3"/>
    <n v="0"/>
    <n v="0"/>
    <n v="7"/>
    <n v="2.0000000000000001E-4"/>
    <n v="2126"/>
    <n v="2121"/>
    <n v="5"/>
    <n v="2.3999999999999998E-3"/>
    <x v="12"/>
    <n v="40720"/>
    <n v="100"/>
    <x v="3"/>
    <x v="2"/>
    <x v="2"/>
    <n v="44"/>
  </r>
  <r>
    <x v="2"/>
    <x v="3"/>
    <n v="2455"/>
    <n v="5.4000000000000003E-3"/>
    <n v="57900"/>
    <n v="0.82289999999999996"/>
    <x v="12"/>
    <n v="2.8999999999999998E-3"/>
    <n v="158"/>
    <n v="0.12620000000000001"/>
    <n v="16"/>
    <n v="4.0000000000000002E-4"/>
    <n v="2379"/>
    <n v="2376"/>
    <n v="3"/>
    <n v="1.1999999999999999E-3"/>
    <x v="13"/>
    <n v="60798"/>
    <n v="100"/>
    <x v="3"/>
    <x v="2"/>
    <x v="2"/>
    <n v="50"/>
  </r>
  <r>
    <x v="3"/>
    <x v="3"/>
    <n v="2064"/>
    <n v="1.0999999999999999E-2"/>
    <n v="41335"/>
    <n v="0.96220000000000006"/>
    <x v="13"/>
    <n v="7.4999999999999997E-3"/>
    <n v="45"/>
    <n v="6.6100000000000006E-2"/>
    <n v="30"/>
    <n v="2.5999999999999999E-3"/>
    <n v="2413"/>
    <n v="2413"/>
    <n v="0"/>
    <n v="0"/>
    <x v="14"/>
    <n v="43728"/>
    <n v="100"/>
    <x v="3"/>
    <x v="2"/>
    <x v="1"/>
    <n v="63"/>
  </r>
  <r>
    <x v="0"/>
    <x v="4"/>
    <n v="2788"/>
    <n v="3.3E-3"/>
    <n v="20206"/>
    <n v="0.44640000000000002"/>
    <x v="14"/>
    <n v="8.9999999999999998E-4"/>
    <n v="26"/>
    <n v="2.4E-2"/>
    <n v="1"/>
    <n v="0"/>
    <n v="5995"/>
    <n v="5938"/>
    <n v="58"/>
    <n v="9.7000000000000003E-3"/>
    <x v="15"/>
    <n v="23082"/>
    <n v="100"/>
    <x v="3"/>
    <x v="1"/>
    <x v="2"/>
    <n v="40"/>
  </r>
  <r>
    <x v="1"/>
    <x v="4"/>
    <n v="9936"/>
    <n v="1.09E-2"/>
    <n v="45666"/>
    <n v="0.63229999999999997"/>
    <x v="15"/>
    <n v="1.9E-3"/>
    <n v="1"/>
    <n v="8.0000000000000004E-4"/>
    <n v="14"/>
    <n v="2.0000000000000001E-4"/>
    <n v="7154"/>
    <n v="6490"/>
    <n v="664"/>
    <n v="9.2799999999999994E-2"/>
    <x v="16"/>
    <n v="55752"/>
    <n v="100"/>
    <x v="3"/>
    <x v="1"/>
    <x v="0"/>
    <n v="40"/>
  </r>
  <r>
    <x v="2"/>
    <x v="4"/>
    <n v="12393"/>
    <n v="1.2E-2"/>
    <n v="75191"/>
    <n v="0.69550000000000001"/>
    <x v="16"/>
    <n v="8.0000000000000002E-3"/>
    <n v="0"/>
    <n v="0"/>
    <n v="15"/>
    <n v="2.0000000000000001E-4"/>
    <n v="7852"/>
    <n v="6631"/>
    <n v="1221"/>
    <n v="0.1555"/>
    <x v="17"/>
    <n v="88186"/>
    <n v="100"/>
    <x v="3"/>
    <x v="1"/>
    <x v="0"/>
    <n v="53"/>
  </r>
  <r>
    <x v="3"/>
    <x v="4"/>
    <n v="15322"/>
    <n v="2.7300000000000001E-2"/>
    <n v="40442"/>
    <n v="0.80489999999999995"/>
    <x v="17"/>
    <n v="1.41E-2"/>
    <n v="0"/>
    <n v="0"/>
    <n v="113"/>
    <n v="3.2000000000000002E-3"/>
    <n v="8049"/>
    <n v="7420"/>
    <n v="629"/>
    <n v="7.8E-2"/>
    <x v="18"/>
    <n v="56526"/>
    <n v="62.31"/>
    <x v="3"/>
    <x v="1"/>
    <x v="0"/>
    <n v="61"/>
  </r>
  <r>
    <x v="0"/>
    <x v="5"/>
    <n v="197"/>
    <n v="1.2E-2"/>
    <n v="386"/>
    <n v="0.64229999999999998"/>
    <x v="18"/>
    <n v="5.4999999999999997E-3"/>
    <n v="40"/>
    <n v="0.66669999999999996"/>
    <n v="0"/>
    <n v="0"/>
    <n v="383"/>
    <n v="383"/>
    <n v="0"/>
    <n v="0"/>
    <x v="19"/>
    <n v="734"/>
    <n v="3.48"/>
    <x v="1"/>
    <x v="0"/>
    <x v="1"/>
    <n v="68"/>
  </r>
  <r>
    <x v="1"/>
    <x v="5"/>
    <n v="857"/>
    <n v="3.8899999999999997E-2"/>
    <n v="1550"/>
    <n v="0.87819999999999998"/>
    <x v="19"/>
    <n v="1.0500000000000001E-2"/>
    <n v="40"/>
    <n v="0.23810000000000001"/>
    <n v="0"/>
    <n v="0"/>
    <n v="426"/>
    <n v="426"/>
    <n v="0"/>
    <n v="0"/>
    <x v="20"/>
    <n v="2719"/>
    <n v="5.7"/>
    <x v="3"/>
    <x v="0"/>
    <x v="1"/>
    <n v="82"/>
  </r>
  <r>
    <x v="2"/>
    <x v="5"/>
    <n v="2148"/>
    <n v="9.9000000000000005E-2"/>
    <n v="3202"/>
    <n v="0.95979999999999999"/>
    <x v="20"/>
    <n v="3.7400000000000003E-2"/>
    <n v="0"/>
    <n v="0"/>
    <n v="27"/>
    <n v="2.5499999999999998E-2"/>
    <n v="407"/>
    <n v="407"/>
    <n v="0"/>
    <n v="0"/>
    <x v="21"/>
    <n v="6333"/>
    <n v="3.35"/>
    <x v="1"/>
    <x v="0"/>
    <x v="1"/>
    <n v="87"/>
  </r>
  <r>
    <x v="3"/>
    <x v="5"/>
    <n v="679"/>
    <n v="6.1899999999999997E-2"/>
    <n v="668"/>
    <n v="0.86529999999999996"/>
    <x v="21"/>
    <n v="0.1205"/>
    <n v="45"/>
    <n v="0.1573"/>
    <n v="18"/>
    <n v="3.5900000000000001E-2"/>
    <n v="411"/>
    <n v="411"/>
    <n v="0"/>
    <n v="0"/>
    <x v="3"/>
    <n v="2454"/>
    <n v="0.64"/>
    <x v="0"/>
    <x v="1"/>
    <x v="1"/>
    <n v="60"/>
  </r>
  <r>
    <x v="0"/>
    <x v="6"/>
    <n v="2630"/>
    <n v="7.4000000000000003E-3"/>
    <n v="1514"/>
    <n v="0.53159999999999996"/>
    <x v="22"/>
    <n v="1.4E-3"/>
    <n v="0"/>
    <n v="0"/>
    <n v="0"/>
    <n v="0"/>
    <n v="4682"/>
    <n v="4682"/>
    <n v="0"/>
    <n v="0"/>
    <x v="22"/>
    <n v="4214"/>
    <n v="21.63"/>
    <x v="3"/>
    <x v="2"/>
    <x v="1"/>
    <n v="46"/>
  </r>
  <r>
    <x v="1"/>
    <x v="6"/>
    <n v="16396"/>
    <n v="4.3200000000000002E-2"/>
    <n v="5602"/>
    <n v="0.81879999999999997"/>
    <x v="23"/>
    <n v="6.7999999999999996E-3"/>
    <n v="0"/>
    <n v="0"/>
    <n v="1"/>
    <n v="0"/>
    <n v="5019"/>
    <n v="5014"/>
    <n v="5"/>
    <n v="1E-3"/>
    <x v="23"/>
    <n v="22363"/>
    <n v="15.39"/>
    <x v="3"/>
    <x v="2"/>
    <x v="2"/>
    <n v="60"/>
  </r>
  <r>
    <x v="2"/>
    <x v="6"/>
    <n v="25093"/>
    <n v="5.96E-2"/>
    <n v="11351"/>
    <n v="0.89029999999999998"/>
    <x v="24"/>
    <n v="2.2200000000000001E-2"/>
    <n v="0"/>
    <n v="0"/>
    <n v="23"/>
    <n v="2.9999999999999997E-4"/>
    <n v="5399"/>
    <n v="5399"/>
    <n v="0"/>
    <n v="0"/>
    <x v="24"/>
    <n v="37638"/>
    <n v="9.69"/>
    <x v="3"/>
    <x v="2"/>
    <x v="1"/>
    <n v="69"/>
  </r>
  <r>
    <x v="3"/>
    <x v="6"/>
    <n v="15941"/>
    <n v="7.1999999999999995E-2"/>
    <n v="5999"/>
    <n v="0.88070000000000004"/>
    <x v="25"/>
    <n v="3.5299999999999998E-2"/>
    <n v="0"/>
    <n v="0"/>
    <n v="168"/>
    <n v="4.4999999999999997E-3"/>
    <n v="6148"/>
    <n v="6148"/>
    <n v="0"/>
    <n v="0"/>
    <x v="25"/>
    <n v="23267"/>
    <n v="5.18"/>
    <x v="3"/>
    <x v="2"/>
    <x v="1"/>
    <n v="70"/>
  </r>
  <r>
    <x v="0"/>
    <x v="7"/>
    <n v="7558"/>
    <n v="2.7400000000000001E-2"/>
    <n v="16248"/>
    <n v="0.71150000000000002"/>
    <x v="26"/>
    <n v="1.3899999999999999E-2"/>
    <n v="31"/>
    <n v="0.10199999999999999"/>
    <n v="19"/>
    <n v="1E-3"/>
    <n v="6314"/>
    <n v="6314"/>
    <n v="0"/>
    <n v="0"/>
    <x v="26"/>
    <n v="25815"/>
    <n v="8.2899999999999991"/>
    <x v="3"/>
    <x v="0"/>
    <x v="1"/>
    <n v="81"/>
  </r>
  <r>
    <x v="1"/>
    <x v="7"/>
    <n v="34596"/>
    <n v="9.35E-2"/>
    <n v="21623"/>
    <n v="0.73580000000000001"/>
    <x v="27"/>
    <n v="3.1E-2"/>
    <n v="399"/>
    <n v="0.34610000000000002"/>
    <n v="5"/>
    <n v="2.0000000000000001E-4"/>
    <n v="7323"/>
    <n v="7323"/>
    <n v="0"/>
    <n v="0"/>
    <x v="27"/>
    <n v="62265"/>
    <n v="3.83"/>
    <x v="1"/>
    <x v="0"/>
    <x v="1"/>
    <n v="85"/>
  </r>
  <r>
    <x v="2"/>
    <x v="7"/>
    <n v="37522"/>
    <n v="9.3700000000000006E-2"/>
    <n v="26344"/>
    <n v="0.78439999999999999"/>
    <x v="28"/>
    <n v="4.1500000000000002E-2"/>
    <n v="1121"/>
    <n v="0.57550000000000001"/>
    <n v="323"/>
    <n v="1.5900000000000001E-2"/>
    <n v="7695"/>
    <n v="7695"/>
    <n v="0"/>
    <n v="0"/>
    <x v="28"/>
    <n v="73487"/>
    <n v="3.22"/>
    <x v="1"/>
    <x v="0"/>
    <x v="1"/>
    <n v="89"/>
  </r>
  <r>
    <x v="3"/>
    <x v="7"/>
    <n v="20194"/>
    <n v="8.5900000000000004E-2"/>
    <n v="6698"/>
    <n v="0.65529999999999999"/>
    <x v="29"/>
    <n v="0.1091"/>
    <n v="858"/>
    <n v="0.66979999999999995"/>
    <n v="690"/>
    <n v="6.8900000000000003E-2"/>
    <n v="7437"/>
    <n v="7437"/>
    <n v="0"/>
    <n v="0"/>
    <x v="29"/>
    <n v="38965"/>
    <n v="0.64"/>
    <x v="0"/>
    <x v="0"/>
    <x v="1"/>
    <n v="91"/>
  </r>
  <r>
    <x v="0"/>
    <x v="8"/>
    <n v="847"/>
    <n v="2.4500000000000001E-2"/>
    <n v="14"/>
    <n v="0.26419999999999999"/>
    <x v="30"/>
    <n v="1.34E-2"/>
    <n v="35"/>
    <n v="0.34649999999999997"/>
    <n v="10"/>
    <n v="4.5999999999999999E-3"/>
    <n v="612"/>
    <n v="612"/>
    <n v="0"/>
    <n v="0"/>
    <x v="30"/>
    <n v="1095"/>
    <n v="7.0000000000000007E-2"/>
    <x v="0"/>
    <x v="0"/>
    <x v="1"/>
    <n v="88"/>
  </r>
  <r>
    <x v="1"/>
    <x v="8"/>
    <n v="4992"/>
    <n v="0.1024"/>
    <n v="38"/>
    <n v="0.39179999999999998"/>
    <x v="31"/>
    <n v="3.2399999999999998E-2"/>
    <n v="17"/>
    <n v="0.1328"/>
    <n v="15"/>
    <n v="5.7999999999999996E-3"/>
    <n v="703"/>
    <n v="701"/>
    <n v="2"/>
    <n v="2.8E-3"/>
    <x v="31"/>
    <n v="5686"/>
    <n v="0.06"/>
    <x v="0"/>
    <x v="0"/>
    <x v="2"/>
    <n v="91"/>
  </r>
  <r>
    <x v="2"/>
    <x v="8"/>
    <n v="8328"/>
    <n v="0.1575"/>
    <n v="45"/>
    <n v="0.30199999999999999"/>
    <x v="32"/>
    <n v="3.9300000000000002E-2"/>
    <n v="45"/>
    <n v="0.1148"/>
    <n v="60"/>
    <n v="1.8800000000000001E-2"/>
    <n v="718"/>
    <n v="718"/>
    <n v="0"/>
    <n v="0"/>
    <x v="32"/>
    <n v="9440"/>
    <n v="0.05"/>
    <x v="0"/>
    <x v="0"/>
    <x v="1"/>
    <n v="93"/>
  </r>
  <r>
    <x v="3"/>
    <x v="8"/>
    <n v="4063"/>
    <n v="0.15720000000000001"/>
    <n v="26"/>
    <n v="0.27079999999999999"/>
    <x v="33"/>
    <n v="8.3000000000000004E-2"/>
    <n v="2"/>
    <n v="1.44E-2"/>
    <n v="12"/>
    <n v="8.0000000000000002E-3"/>
    <n v="776"/>
    <n v="776"/>
    <n v="0"/>
    <n v="0"/>
    <x v="3"/>
    <n v="4960"/>
    <n v="0.03"/>
    <x v="0"/>
    <x v="1"/>
    <x v="1"/>
    <n v="60"/>
  </r>
  <r>
    <x v="0"/>
    <x v="9"/>
    <n v="7883"/>
    <n v="9.4000000000000004E-3"/>
    <n v="753"/>
    <n v="3.1899999999999998E-2"/>
    <x v="33"/>
    <n v="3.2000000000000002E-3"/>
    <n v="217"/>
    <n v="0.105"/>
    <n v="65"/>
    <n v="5.0000000000000001E-4"/>
    <n v="18528"/>
    <n v="18483"/>
    <n v="45"/>
    <n v="2.3999999999999998E-3"/>
    <x v="33"/>
    <n v="9775"/>
    <n v="0.88"/>
    <x v="0"/>
    <x v="0"/>
    <x v="2"/>
    <n v="57"/>
  </r>
  <r>
    <x v="1"/>
    <x v="9"/>
    <n v="64583"/>
    <n v="6.0299999999999999E-2"/>
    <n v="1366"/>
    <n v="3.04E-2"/>
    <x v="34"/>
    <n v="8.8999999999999999E-3"/>
    <n v="183"/>
    <n v="5.57E-2"/>
    <n v="60"/>
    <n v="5.0000000000000001E-4"/>
    <n v="19451"/>
    <n v="19431"/>
    <n v="20"/>
    <n v="1E-3"/>
    <x v="34"/>
    <n v="68997"/>
    <n v="0.49"/>
    <x v="0"/>
    <x v="0"/>
    <x v="2"/>
    <n v="73"/>
  </r>
  <r>
    <x v="2"/>
    <x v="9"/>
    <n v="78499"/>
    <n v="6.4899999999999999E-2"/>
    <n v="3041"/>
    <n v="3.9699999999999999E-2"/>
    <x v="35"/>
    <n v="1.8700000000000001E-2"/>
    <n v="106"/>
    <n v="2.52E-2"/>
    <n v="398"/>
    <n v="2.2000000000000001E-3"/>
    <n v="21464"/>
    <n v="21382"/>
    <n v="82"/>
    <n v="3.8E-3"/>
    <x v="35"/>
    <n v="88617"/>
    <n v="0.46"/>
    <x v="0"/>
    <x v="0"/>
    <x v="2"/>
    <n v="78"/>
  </r>
  <r>
    <x v="3"/>
    <x v="9"/>
    <n v="33936"/>
    <n v="5.5800000000000002E-2"/>
    <n v="2575"/>
    <n v="6.4000000000000001E-2"/>
    <x v="36"/>
    <n v="4.8000000000000001E-2"/>
    <n v="387"/>
    <n v="0.18010000000000001"/>
    <n v="237"/>
    <n v="3.3E-3"/>
    <n v="24829"/>
    <n v="24544"/>
    <n v="285"/>
    <n v="1.0999999999999999E-2"/>
    <x v="3"/>
    <n v="45643"/>
    <n v="0.3"/>
    <x v="0"/>
    <x v="1"/>
    <x v="2"/>
    <n v="60"/>
  </r>
  <r>
    <x v="0"/>
    <x v="10"/>
    <n v="3788"/>
    <n v="1.04E-2"/>
    <n v="4807"/>
    <n v="0.43020000000000003"/>
    <x v="37"/>
    <n v="2.9999999999999997E-4"/>
    <n v="0"/>
    <n v="0"/>
    <n v="6"/>
    <n v="1E-4"/>
    <n v="10982"/>
    <n v="10982"/>
    <n v="0"/>
    <n v="0"/>
    <x v="36"/>
    <n v="8661"/>
    <n v="80.12"/>
    <x v="3"/>
    <x v="0"/>
    <x v="1"/>
    <n v="51"/>
  </r>
  <r>
    <x v="1"/>
    <x v="10"/>
    <n v="11698"/>
    <n v="2.9100000000000001E-2"/>
    <n v="13321"/>
    <n v="0.52690000000000003"/>
    <x v="38"/>
    <n v="3.8E-3"/>
    <n v="0"/>
    <n v="0"/>
    <n v="9"/>
    <n v="1E-4"/>
    <n v="12120"/>
    <n v="12120"/>
    <n v="0"/>
    <n v="0"/>
    <x v="37"/>
    <n v="25859"/>
    <n v="16.03"/>
    <x v="3"/>
    <x v="0"/>
    <x v="1"/>
    <n v="62"/>
  </r>
  <r>
    <x v="2"/>
    <x v="10"/>
    <n v="7432"/>
    <n v="1.7100000000000001E-2"/>
    <n v="20321"/>
    <n v="0.52629999999999999"/>
    <x v="39"/>
    <n v="1.03E-2"/>
    <n v="0"/>
    <n v="0"/>
    <n v="80"/>
    <n v="8.0000000000000004E-4"/>
    <n v="12768"/>
    <n v="12768"/>
    <n v="0"/>
    <n v="0"/>
    <x v="38"/>
    <n v="30489"/>
    <n v="7.65"/>
    <x v="3"/>
    <x v="0"/>
    <x v="1"/>
    <n v="80"/>
  </r>
  <r>
    <x v="3"/>
    <x v="10"/>
    <n v="6077"/>
    <n v="2.5399999999999999E-2"/>
    <n v="7198"/>
    <n v="0.56489999999999996"/>
    <x v="40"/>
    <n v="5.1000000000000004E-3"/>
    <n v="75"/>
    <n v="2.4500000000000001E-2"/>
    <n v="570"/>
    <n v="9.1999999999999998E-3"/>
    <n v="13088"/>
    <n v="12844"/>
    <n v="244"/>
    <n v="1.9E-2"/>
    <x v="39"/>
    <n v="14689"/>
    <n v="9.36"/>
    <x v="3"/>
    <x v="0"/>
    <x v="2"/>
    <n v="69"/>
  </r>
  <r>
    <x v="0"/>
    <x v="11"/>
    <n v="304"/>
    <n v="5.1000000000000004E-3"/>
    <n v="11"/>
    <n v="6.25E-2"/>
    <x v="41"/>
    <n v="2.9999999999999997E-4"/>
    <n v="0"/>
    <n v="0"/>
    <n v="0"/>
    <n v="0"/>
    <n v="1932"/>
    <n v="1932"/>
    <n v="0"/>
    <n v="0"/>
    <x v="40"/>
    <n v="327"/>
    <n v="0.92"/>
    <x v="0"/>
    <x v="2"/>
    <x v="1"/>
    <n v="47"/>
  </r>
  <r>
    <x v="1"/>
    <x v="11"/>
    <n v="945"/>
    <n v="1.5100000000000001E-2"/>
    <n v="18"/>
    <n v="5.6599999999999998E-2"/>
    <x v="42"/>
    <n v="1E-3"/>
    <n v="0"/>
    <n v="0"/>
    <n v="2"/>
    <n v="2.0000000000000001E-4"/>
    <n v="2030"/>
    <n v="2030"/>
    <n v="0"/>
    <n v="0"/>
    <x v="41"/>
    <n v="1008"/>
    <n v="0.42"/>
    <x v="0"/>
    <x v="2"/>
    <x v="1"/>
    <n v="51"/>
  </r>
  <r>
    <x v="2"/>
    <x v="11"/>
    <n v="887"/>
    <n v="1.34E-2"/>
    <n v="39"/>
    <n v="9.3299999999999994E-2"/>
    <x v="43"/>
    <n v="3.2000000000000002E-3"/>
    <n v="35"/>
    <n v="3.5999999999999997E-2"/>
    <n v="13"/>
    <n v="1E-3"/>
    <n v="2071"/>
    <n v="2071"/>
    <n v="0"/>
    <n v="0"/>
    <x v="42"/>
    <n v="1126"/>
    <n v="0.26"/>
    <x v="0"/>
    <x v="0"/>
    <x v="1"/>
    <n v="58"/>
  </r>
  <r>
    <x v="3"/>
    <x v="11"/>
    <n v="486"/>
    <n v="1.47E-2"/>
    <n v="32"/>
    <n v="0.4"/>
    <x v="44"/>
    <n v="1.17E-2"/>
    <n v="0"/>
    <n v="0"/>
    <n v="22"/>
    <n v="3.2000000000000002E-3"/>
    <n v="2181"/>
    <n v="2181"/>
    <n v="0"/>
    <n v="0"/>
    <x v="43"/>
    <n v="876"/>
    <n v="0.1"/>
    <x v="0"/>
    <x v="0"/>
    <x v="1"/>
    <n v="76"/>
  </r>
  <r>
    <x v="0"/>
    <x v="12"/>
    <n v="1130"/>
    <n v="1.3899999999999999E-2"/>
    <n v="11"/>
    <n v="2.8E-3"/>
    <x v="45"/>
    <n v="1E-4"/>
    <n v="0"/>
    <n v="0"/>
    <n v="0"/>
    <n v="0"/>
    <n v="3280"/>
    <n v="2680"/>
    <n v="600"/>
    <n v="0.18290000000000001"/>
    <x v="44"/>
    <n v="1146"/>
    <n v="2.2000000000000002"/>
    <x v="1"/>
    <x v="2"/>
    <x v="0"/>
    <n v="36"/>
  </r>
  <r>
    <x v="1"/>
    <x v="12"/>
    <n v="2132"/>
    <n v="2.5399999999999999E-2"/>
    <n v="2508"/>
    <n v="0.38690000000000002"/>
    <x v="46"/>
    <n v="8.9999999999999998E-4"/>
    <n v="2"/>
    <n v="3.0999999999999999E-3"/>
    <n v="0"/>
    <n v="0"/>
    <n v="3076"/>
    <n v="2826"/>
    <n v="250"/>
    <n v="8.1299999999999997E-2"/>
    <x v="45"/>
    <n v="4690"/>
    <n v="52.25"/>
    <x v="3"/>
    <x v="2"/>
    <x v="0"/>
    <n v="42"/>
  </r>
  <r>
    <x v="2"/>
    <x v="12"/>
    <n v="1828"/>
    <n v="2.1600000000000001E-2"/>
    <n v="7599"/>
    <n v="0.66590000000000005"/>
    <x v="47"/>
    <n v="2.5999999999999999E-3"/>
    <n v="150"/>
    <n v="8.6499999999999994E-2"/>
    <n v="0"/>
    <n v="0"/>
    <n v="3137"/>
    <n v="2967"/>
    <n v="170"/>
    <n v="5.4199999999999998E-2"/>
    <x v="46"/>
    <n v="9720"/>
    <n v="53.14"/>
    <x v="3"/>
    <x v="2"/>
    <x v="0"/>
    <n v="48"/>
  </r>
  <r>
    <x v="3"/>
    <x v="12"/>
    <n v="1633"/>
    <n v="3.6700000000000003E-2"/>
    <n v="4320"/>
    <n v="0.65390000000000004"/>
    <x v="48"/>
    <n v="9.7999999999999997E-3"/>
    <n v="0"/>
    <n v="0"/>
    <n v="20"/>
    <n v="2.7000000000000001E-3"/>
    <n v="3181"/>
    <n v="3133"/>
    <n v="48"/>
    <n v="1.4999999999999999E-2"/>
    <x v="47"/>
    <n v="6277"/>
    <n v="14.21"/>
    <x v="3"/>
    <x v="2"/>
    <x v="2"/>
    <n v="68"/>
  </r>
  <r>
    <x v="0"/>
    <x v="13"/>
    <n v="1672"/>
    <n v="4.4000000000000003E-3"/>
    <n v="2019"/>
    <n v="0.20219999999999999"/>
    <x v="46"/>
    <n v="8.0000000000000004E-4"/>
    <n v="0"/>
    <n v="0"/>
    <n v="2"/>
    <n v="1E-4"/>
    <n v="1651"/>
    <n v="1527"/>
    <n v="124"/>
    <n v="7.51E-2"/>
    <x v="48"/>
    <n v="3741"/>
    <n v="42.06"/>
    <x v="3"/>
    <x v="1"/>
    <x v="0"/>
    <n v="39"/>
  </r>
  <r>
    <x v="1"/>
    <x v="13"/>
    <n v="6730"/>
    <n v="1.7000000000000001E-2"/>
    <n v="6794"/>
    <n v="0.43969999999999998"/>
    <x v="49"/>
    <n v="2.8999999999999998E-3"/>
    <n v="0"/>
    <n v="0"/>
    <n v="0"/>
    <n v="0"/>
    <n v="1887"/>
    <n v="1611"/>
    <n v="276"/>
    <n v="0.14630000000000001"/>
    <x v="49"/>
    <n v="13681"/>
    <n v="43.27"/>
    <x v="3"/>
    <x v="1"/>
    <x v="0"/>
    <n v="43"/>
  </r>
  <r>
    <x v="2"/>
    <x v="13"/>
    <n v="7400"/>
    <n v="1.7100000000000001E-2"/>
    <n v="13225"/>
    <n v="0.57869999999999999"/>
    <x v="50"/>
    <n v="8.0999999999999996E-3"/>
    <n v="2"/>
    <n v="1.6000000000000001E-3"/>
    <n v="18"/>
    <n v="5.9999999999999995E-4"/>
    <n v="2253"/>
    <n v="1918"/>
    <n v="336"/>
    <n v="0.1489"/>
    <x v="50"/>
    <n v="21097"/>
    <n v="29.26"/>
    <x v="3"/>
    <x v="1"/>
    <x v="0"/>
    <n v="56"/>
  </r>
  <r>
    <x v="3"/>
    <x v="13"/>
    <n v="6016"/>
    <n v="2.53E-2"/>
    <n v="9830"/>
    <n v="0.67759999999999998"/>
    <x v="51"/>
    <n v="1.2E-2"/>
    <n v="2"/>
    <n v="3.7000000000000002E-3"/>
    <n v="76"/>
    <n v="4.5999999999999999E-3"/>
    <n v="2193"/>
    <n v="2020"/>
    <n v="173"/>
    <n v="7.9000000000000001E-2"/>
    <x v="51"/>
    <n v="16333"/>
    <n v="24.03"/>
    <x v="3"/>
    <x v="2"/>
    <x v="0"/>
    <n v="64"/>
  </r>
  <r>
    <x v="0"/>
    <x v="14"/>
    <n v="29612"/>
    <n v="3.5900000000000001E-2"/>
    <n v="2146"/>
    <n v="0.1195"/>
    <x v="52"/>
    <n v="7.0000000000000001E-3"/>
    <n v="27"/>
    <n v="2.63E-2"/>
    <n v="42"/>
    <n v="2.9999999999999997E-4"/>
    <n v="14367"/>
    <n v="14367"/>
    <n v="0"/>
    <n v="0"/>
    <x v="52"/>
    <n v="33314"/>
    <n v="1.44"/>
    <x v="0"/>
    <x v="0"/>
    <x v="1"/>
    <n v="67"/>
  </r>
  <r>
    <x v="1"/>
    <x v="14"/>
    <n v="86916"/>
    <n v="8.1000000000000003E-2"/>
    <n v="4305"/>
    <n v="0.1396"/>
    <x v="53"/>
    <n v="1.61E-2"/>
    <n v="364"/>
    <n v="7.9699999999999993E-2"/>
    <n v="18"/>
    <n v="1E-4"/>
    <n v="14830"/>
    <n v="14818"/>
    <n v="12"/>
    <n v="8.0000000000000004E-4"/>
    <x v="53"/>
    <n v="95934"/>
    <n v="0.99"/>
    <x v="0"/>
    <x v="0"/>
    <x v="2"/>
    <n v="78"/>
  </r>
  <r>
    <x v="2"/>
    <x v="14"/>
    <n v="133640"/>
    <n v="0.1096"/>
    <n v="5437"/>
    <n v="9.1800000000000007E-2"/>
    <x v="54"/>
    <n v="3.9399999999999998E-2"/>
    <n v="280"/>
    <n v="4.24E-2"/>
    <n v="257"/>
    <n v="1.6999999999999999E-3"/>
    <n v="15828"/>
    <n v="15828"/>
    <n v="0"/>
    <n v="0"/>
    <x v="54"/>
    <n v="151272"/>
    <n v="0.47"/>
    <x v="0"/>
    <x v="0"/>
    <x v="1"/>
    <n v="80"/>
  </r>
  <r>
    <x v="3"/>
    <x v="14"/>
    <n v="97894"/>
    <n v="0.1527"/>
    <n v="4175"/>
    <n v="0.13220000000000001"/>
    <x v="55"/>
    <n v="7.3700000000000002E-2"/>
    <n v="40"/>
    <n v="1.17E-2"/>
    <n v="904"/>
    <n v="1.18E-2"/>
    <n v="17212"/>
    <n v="17212"/>
    <n v="0"/>
    <n v="0"/>
    <x v="55"/>
    <n v="114655"/>
    <n v="0.36"/>
    <x v="0"/>
    <x v="0"/>
    <x v="1"/>
    <n v="82"/>
  </r>
  <r>
    <x v="0"/>
    <x v="15"/>
    <n v="5879"/>
    <n v="1.14E-2"/>
    <n v="1276"/>
    <n v="9.64E-2"/>
    <x v="56"/>
    <n v="7.7999999999999996E-3"/>
    <n v="0"/>
    <n v="0"/>
    <n v="2"/>
    <n v="1E-4"/>
    <n v="4275"/>
    <n v="4269"/>
    <n v="6"/>
    <n v="1.4E-3"/>
    <x v="56"/>
    <n v="8801"/>
    <n v="0.78"/>
    <x v="0"/>
    <x v="2"/>
    <x v="2"/>
    <n v="67"/>
  </r>
  <r>
    <x v="1"/>
    <x v="15"/>
    <n v="33437"/>
    <n v="6.2899999999999998E-2"/>
    <n v="2367"/>
    <n v="0.1217"/>
    <x v="57"/>
    <n v="1.9E-2"/>
    <n v="40"/>
    <n v="1.6899999999999998E-2"/>
    <n v="6"/>
    <n v="2.0000000000000001E-4"/>
    <n v="4374"/>
    <n v="4364"/>
    <n v="10"/>
    <n v="2.3E-3"/>
    <x v="57"/>
    <n v="39671"/>
    <n v="0.62"/>
    <x v="0"/>
    <x v="0"/>
    <x v="2"/>
    <n v="75"/>
  </r>
  <r>
    <x v="2"/>
    <x v="15"/>
    <n v="61528"/>
    <n v="0.1258"/>
    <n v="4070"/>
    <n v="0.12429999999999999"/>
    <x v="58"/>
    <n v="4.7399999999999998E-2"/>
    <n v="70"/>
    <n v="1.44E-2"/>
    <n v="58"/>
    <n v="2.0999999999999999E-3"/>
    <n v="4699"/>
    <n v="4370"/>
    <n v="329"/>
    <n v="7.0000000000000007E-2"/>
    <x v="58"/>
    <n v="74714"/>
    <n v="0.45"/>
    <x v="0"/>
    <x v="0"/>
    <x v="0"/>
    <n v="74"/>
  </r>
  <r>
    <x v="3"/>
    <x v="15"/>
    <n v="42451"/>
    <n v="0.15709999999999999"/>
    <n v="4091"/>
    <n v="0.22950000000000001"/>
    <x v="59"/>
    <n v="7.5999999999999998E-2"/>
    <n v="3"/>
    <n v="1.1000000000000001E-3"/>
    <n v="320"/>
    <n v="2.2100000000000002E-2"/>
    <n v="5284"/>
    <n v="5284"/>
    <n v="0"/>
    <n v="0"/>
    <x v="59"/>
    <n v="53714"/>
    <n v="0.6"/>
    <x v="0"/>
    <x v="0"/>
    <x v="1"/>
    <n v="79"/>
  </r>
  <r>
    <x v="0"/>
    <x v="16"/>
    <n v="5102"/>
    <n v="5.7999999999999996E-3"/>
    <n v="5133"/>
    <n v="0.35599999999999998"/>
    <x v="60"/>
    <n v="1.5E-3"/>
    <n v="0"/>
    <n v="0"/>
    <n v="0"/>
    <n v="0"/>
    <n v="15756"/>
    <n v="15668"/>
    <n v="88"/>
    <n v="5.5999999999999999E-3"/>
    <x v="60"/>
    <n v="10427"/>
    <n v="26.73"/>
    <x v="3"/>
    <x v="2"/>
    <x v="2"/>
    <n v="45"/>
  </r>
  <r>
    <x v="1"/>
    <x v="16"/>
    <n v="22418"/>
    <n v="2.1600000000000001E-2"/>
    <n v="13825"/>
    <n v="0.49809999999999999"/>
    <x v="61"/>
    <n v="3.3999999999999998E-3"/>
    <n v="20"/>
    <n v="6.7999999999999996E-3"/>
    <n v="0"/>
    <n v="0"/>
    <n v="15917"/>
    <n v="15917"/>
    <n v="0"/>
    <n v="0"/>
    <x v="61"/>
    <n v="36797"/>
    <n v="25.89"/>
    <x v="3"/>
    <x v="2"/>
    <x v="1"/>
    <n v="51"/>
  </r>
  <r>
    <x v="2"/>
    <x v="16"/>
    <n v="36226"/>
    <n v="3.27E-2"/>
    <n v="29292"/>
    <n v="0.58340000000000003"/>
    <x v="62"/>
    <n v="9.1999999999999998E-3"/>
    <n v="15"/>
    <n v="4.1999999999999997E-3"/>
    <n v="58"/>
    <n v="4.0000000000000002E-4"/>
    <n v="17347"/>
    <n v="17238"/>
    <n v="109"/>
    <n v="6.3E-3"/>
    <x v="62"/>
    <n v="67051"/>
    <n v="20.059999999999999"/>
    <x v="3"/>
    <x v="2"/>
    <x v="2"/>
    <n v="67"/>
  </r>
  <r>
    <x v="3"/>
    <x v="16"/>
    <n v="56522"/>
    <n v="0.1036"/>
    <n v="14558"/>
    <n v="0.63490000000000002"/>
    <x v="63"/>
    <n v="2.35E-2"/>
    <n v="2"/>
    <n v="8.9999999999999998E-4"/>
    <n v="294"/>
    <n v="4.0000000000000001E-3"/>
    <n v="18252"/>
    <n v="17817"/>
    <n v="435"/>
    <n v="2.4E-2"/>
    <x v="63"/>
    <n v="73904"/>
    <n v="5.76"/>
    <x v="3"/>
    <x v="2"/>
    <x v="2"/>
    <n v="69"/>
  </r>
  <r>
    <x v="0"/>
    <x v="17"/>
    <n v="23674"/>
    <n v="1.78E-2"/>
    <n v="1938"/>
    <n v="6.5100000000000005E-2"/>
    <x v="64"/>
    <n v="1.06E-2"/>
    <n v="552"/>
    <n v="0.33700000000000002"/>
    <n v="3"/>
    <n v="0"/>
    <n v="25576"/>
    <n v="25513"/>
    <n v="63"/>
    <n v="2.5000000000000001E-3"/>
    <x v="64"/>
    <n v="29907"/>
    <n v="0.52"/>
    <x v="0"/>
    <x v="2"/>
    <x v="2"/>
    <n v="72"/>
  </r>
  <r>
    <x v="1"/>
    <x v="17"/>
    <n v="117557"/>
    <n v="7.1599999999999997E-2"/>
    <n v="6427"/>
    <n v="0.13750000000000001"/>
    <x v="65"/>
    <n v="2.6700000000000002E-2"/>
    <n v="336"/>
    <n v="7.7299999999999994E-2"/>
    <n v="24"/>
    <n v="1E-4"/>
    <n v="28075"/>
    <n v="28016"/>
    <n v="59"/>
    <n v="2.0999999999999999E-3"/>
    <x v="65"/>
    <n v="136036"/>
    <n v="0.55000000000000004"/>
    <x v="0"/>
    <x v="0"/>
    <x v="2"/>
    <n v="75"/>
  </r>
  <r>
    <x v="2"/>
    <x v="17"/>
    <n v="167773"/>
    <n v="9.4399999999999998E-2"/>
    <n v="11523"/>
    <n v="0.14899999999999999"/>
    <x v="66"/>
    <n v="2.92E-2"/>
    <n v="451"/>
    <n v="4.6100000000000002E-2"/>
    <n v="438"/>
    <n v="1.9E-3"/>
    <n v="30935"/>
    <n v="28846"/>
    <n v="2089"/>
    <n v="6.7500000000000004E-2"/>
    <x v="66"/>
    <n v="193935"/>
    <n v="0.84"/>
    <x v="0"/>
    <x v="0"/>
    <x v="0"/>
    <n v="74"/>
  </r>
  <r>
    <x v="3"/>
    <x v="17"/>
    <n v="117238"/>
    <n v="0.11020000000000001"/>
    <n v="5081"/>
    <n v="0.13900000000000001"/>
    <x v="67"/>
    <n v="6.3600000000000004E-2"/>
    <n v="252"/>
    <n v="4.58E-2"/>
    <n v="2179"/>
    <n v="1.7899999999999999E-2"/>
    <n v="31178"/>
    <n v="27996"/>
    <n v="3182"/>
    <n v="0.10199999999999999"/>
    <x v="67"/>
    <n v="141643"/>
    <n v="0.3"/>
    <x v="0"/>
    <x v="0"/>
    <x v="0"/>
    <n v="75"/>
  </r>
  <r>
    <x v="0"/>
    <x v="18"/>
    <n v="20"/>
    <n v="8.0000000000000004E-4"/>
    <n v="94"/>
    <n v="0.1731"/>
    <x v="8"/>
    <n v="0"/>
    <n v="0"/>
    <n v="0"/>
    <n v="0"/>
    <n v="0"/>
    <n v="252"/>
    <n v="249"/>
    <n v="3"/>
    <n v="1.1900000000000001E-2"/>
    <x v="68"/>
    <n v="114"/>
    <m/>
    <x v="2"/>
    <x v="1"/>
    <x v="2"/>
    <n v="40"/>
  </r>
  <r>
    <x v="1"/>
    <x v="18"/>
    <n v="125"/>
    <n v="3.0000000000000001E-3"/>
    <n v="215"/>
    <n v="0.23730000000000001"/>
    <x v="9"/>
    <n v="1E-4"/>
    <n v="0"/>
    <n v="0"/>
    <n v="0"/>
    <n v="0"/>
    <n v="258"/>
    <n v="258"/>
    <n v="0"/>
    <n v="0"/>
    <x v="69"/>
    <n v="341"/>
    <n v="100"/>
    <x v="3"/>
    <x v="1"/>
    <x v="1"/>
    <n v="42"/>
  </r>
  <r>
    <x v="2"/>
    <x v="18"/>
    <n v="89"/>
    <n v="4.4999999999999997E-3"/>
    <n v="280"/>
    <n v="0.4173"/>
    <x v="68"/>
    <n v="5.8999999999999999E-3"/>
    <n v="0"/>
    <n v="0"/>
    <n v="0"/>
    <n v="0"/>
    <n v="248"/>
    <n v="248"/>
    <n v="0"/>
    <n v="0"/>
    <x v="70"/>
    <n v="399"/>
    <n v="9.33"/>
    <x v="3"/>
    <x v="2"/>
    <x v="1"/>
    <n v="57"/>
  </r>
  <r>
    <x v="3"/>
    <x v="18"/>
    <n v="326"/>
    <n v="2.3699999999999999E-2"/>
    <n v="542"/>
    <n v="0.77429999999999999"/>
    <x v="69"/>
    <n v="2.0299999999999999E-2"/>
    <n v="0"/>
    <n v="0"/>
    <n v="0"/>
    <n v="0"/>
    <n v="258"/>
    <n v="248"/>
    <n v="10"/>
    <n v="3.7999999999999999E-2"/>
    <x v="3"/>
    <n v="934"/>
    <n v="8.2100000000000009"/>
    <x v="3"/>
    <x v="1"/>
    <x v="2"/>
    <n v="59"/>
  </r>
  <r>
    <x v="0"/>
    <x v="19"/>
    <n v="0"/>
    <n v="0"/>
    <n v="2"/>
    <n v="5.3E-3"/>
    <x v="70"/>
    <n v="2.9999999999999997E-4"/>
    <n v="0"/>
    <n v="0"/>
    <n v="0"/>
    <n v="0"/>
    <n v="384"/>
    <n v="384"/>
    <n v="0"/>
    <n v="0"/>
    <x v="71"/>
    <n v="5"/>
    <n v="0.67"/>
    <x v="0"/>
    <x v="1"/>
    <x v="1"/>
    <n v="42"/>
  </r>
  <r>
    <x v="1"/>
    <x v="19"/>
    <n v="22"/>
    <n v="1.2999999999999999E-3"/>
    <n v="9"/>
    <n v="1.9300000000000001E-2"/>
    <x v="71"/>
    <n v="8.9999999999999998E-4"/>
    <n v="0"/>
    <n v="0"/>
    <n v="0"/>
    <n v="0"/>
    <n v="408"/>
    <n v="408"/>
    <n v="0"/>
    <n v="0"/>
    <x v="72"/>
    <n v="42"/>
    <n v="0.82"/>
    <x v="0"/>
    <x v="2"/>
    <x v="1"/>
    <n v="44"/>
  </r>
  <r>
    <x v="2"/>
    <x v="19"/>
    <n v="72"/>
    <n v="3.3999999999999998E-3"/>
    <n v="19"/>
    <n v="2.53E-2"/>
    <x v="72"/>
    <n v="1.4E-3"/>
    <n v="0"/>
    <n v="0"/>
    <n v="2"/>
    <n v="5.0000000000000001E-4"/>
    <n v="404"/>
    <n v="404"/>
    <n v="0"/>
    <n v="2.9999999999999997E-4"/>
    <x v="73"/>
    <n v="113"/>
    <n v="0.95"/>
    <x v="0"/>
    <x v="2"/>
    <x v="2"/>
    <n v="47"/>
  </r>
  <r>
    <x v="3"/>
    <x v="19"/>
    <n v="65"/>
    <n v="6.0000000000000001E-3"/>
    <n v="277"/>
    <n v="0.49640000000000001"/>
    <x v="73"/>
    <n v="8.9999999999999993E-3"/>
    <n v="0"/>
    <n v="0"/>
    <n v="4"/>
    <n v="2.8E-3"/>
    <n v="405"/>
    <n v="405"/>
    <n v="0"/>
    <n v="0"/>
    <x v="74"/>
    <n v="401"/>
    <n v="5.04"/>
    <x v="3"/>
    <x v="2"/>
    <x v="1"/>
    <n v="67"/>
  </r>
  <r>
    <x v="0"/>
    <x v="20"/>
    <n v="0"/>
    <n v="0"/>
    <n v="0"/>
    <n v="0"/>
    <x v="8"/>
    <n v="0"/>
    <n v="0"/>
    <n v="0"/>
    <n v="0"/>
    <n v="0"/>
    <n v="132"/>
    <n v="132"/>
    <n v="0"/>
    <n v="0"/>
    <x v="75"/>
    <n v="0"/>
    <m/>
    <x v="2"/>
    <x v="2"/>
    <x v="1"/>
    <n v="47"/>
  </r>
  <r>
    <x v="1"/>
    <x v="20"/>
    <n v="36"/>
    <n v="1.8E-3"/>
    <n v="0"/>
    <n v="0"/>
    <x v="8"/>
    <n v="0"/>
    <n v="0"/>
    <n v="0"/>
    <n v="0"/>
    <n v="0"/>
    <n v="169"/>
    <n v="156"/>
    <n v="13"/>
    <n v="7.6899999999999996E-2"/>
    <x v="76"/>
    <n v="36"/>
    <m/>
    <x v="2"/>
    <x v="2"/>
    <x v="0"/>
    <n v="45"/>
  </r>
  <r>
    <x v="2"/>
    <x v="20"/>
    <n v="166"/>
    <n v="7.9000000000000008E-3"/>
    <n v="0"/>
    <n v="0"/>
    <x v="8"/>
    <n v="0"/>
    <n v="0"/>
    <n v="0"/>
    <n v="0"/>
    <n v="0"/>
    <n v="159"/>
    <n v="159"/>
    <n v="0"/>
    <n v="0"/>
    <x v="77"/>
    <n v="166"/>
    <m/>
    <x v="2"/>
    <x v="0"/>
    <x v="1"/>
    <n v="49"/>
  </r>
  <r>
    <x v="3"/>
    <x v="20"/>
    <n v="506"/>
    <n v="4.4999999999999998E-2"/>
    <n v="0"/>
    <n v="0"/>
    <x v="74"/>
    <n v="4.7000000000000002E-3"/>
    <n v="0"/>
    <n v="0"/>
    <n v="0"/>
    <n v="0"/>
    <n v="162"/>
    <n v="162"/>
    <n v="0"/>
    <n v="0"/>
    <x v="3"/>
    <n v="516"/>
    <n v="0"/>
    <x v="0"/>
    <x v="1"/>
    <x v="1"/>
    <n v="47"/>
  </r>
  <r>
    <x v="0"/>
    <x v="21"/>
    <n v="2"/>
    <n v="2.9999999999999997E-4"/>
    <n v="0"/>
    <n v="0"/>
    <x v="8"/>
    <n v="0"/>
    <n v="0"/>
    <n v="0"/>
    <n v="0"/>
    <n v="0"/>
    <n v="160"/>
    <n v="155"/>
    <n v="5"/>
    <n v="3.1199999999999999E-2"/>
    <x v="78"/>
    <n v="2"/>
    <m/>
    <x v="2"/>
    <x v="2"/>
    <x v="2"/>
    <n v="42"/>
  </r>
  <r>
    <x v="1"/>
    <x v="21"/>
    <n v="3"/>
    <n v="5.0000000000000001E-4"/>
    <n v="0"/>
    <n v="0"/>
    <x v="8"/>
    <n v="0"/>
    <n v="0"/>
    <n v="0"/>
    <n v="0"/>
    <n v="0"/>
    <n v="173"/>
    <n v="153"/>
    <n v="20"/>
    <n v="0.11559999999999999"/>
    <x v="79"/>
    <n v="3"/>
    <m/>
    <x v="2"/>
    <x v="2"/>
    <x v="0"/>
    <n v="39"/>
  </r>
  <r>
    <x v="2"/>
    <x v="21"/>
    <n v="3"/>
    <n v="5.0000000000000001E-4"/>
    <n v="0"/>
    <n v="0"/>
    <x v="70"/>
    <n v="2.9999999999999997E-4"/>
    <n v="0"/>
    <n v="0"/>
    <n v="0"/>
    <n v="0"/>
    <n v="168"/>
    <n v="167"/>
    <n v="1"/>
    <n v="4.7999999999999996E-3"/>
    <x v="80"/>
    <n v="6"/>
    <n v="0"/>
    <x v="0"/>
    <x v="2"/>
    <x v="2"/>
    <n v="45"/>
  </r>
  <r>
    <x v="3"/>
    <x v="21"/>
    <n v="7"/>
    <n v="2.3E-3"/>
    <n v="0"/>
    <n v="0"/>
    <x v="75"/>
    <n v="2E-3"/>
    <n v="0"/>
    <n v="0"/>
    <n v="0"/>
    <n v="0"/>
    <n v="174"/>
    <n v="174"/>
    <n v="0"/>
    <n v="1E-3"/>
    <x v="3"/>
    <n v="15"/>
    <n v="0"/>
    <x v="0"/>
    <x v="1"/>
    <x v="2"/>
    <n v="40"/>
  </r>
  <r>
    <x v="0"/>
    <x v="22"/>
    <n v="4944"/>
    <n v="1.1599999999999999E-2"/>
    <n v="623"/>
    <n v="8.4599999999999995E-2"/>
    <x v="37"/>
    <n v="1E-3"/>
    <n v="0"/>
    <n v="0"/>
    <n v="0"/>
    <n v="0"/>
    <n v="4984"/>
    <n v="4984"/>
    <n v="1"/>
    <n v="2.0000000000000001E-4"/>
    <x v="81"/>
    <n v="5627"/>
    <n v="10.38"/>
    <x v="3"/>
    <x v="2"/>
    <x v="2"/>
    <n v="44"/>
  </r>
  <r>
    <x v="1"/>
    <x v="22"/>
    <n v="25721"/>
    <n v="5.0900000000000001E-2"/>
    <n v="2253"/>
    <n v="0.20699999999999999"/>
    <x v="76"/>
    <n v="6.1999999999999998E-3"/>
    <n v="30"/>
    <n v="1.9400000000000001E-2"/>
    <n v="2"/>
    <n v="0"/>
    <n v="5643"/>
    <n v="5643"/>
    <n v="0"/>
    <n v="0"/>
    <x v="82"/>
    <n v="28444"/>
    <n v="5.14"/>
    <x v="3"/>
    <x v="2"/>
    <x v="1"/>
    <n v="59"/>
  </r>
  <r>
    <x v="2"/>
    <x v="22"/>
    <n v="38351"/>
    <n v="6.5500000000000003E-2"/>
    <n v="4767"/>
    <n v="0.24979999999999999"/>
    <x v="77"/>
    <n v="1.7500000000000002E-2"/>
    <n v="21"/>
    <n v="7.4000000000000003E-3"/>
    <n v="76"/>
    <n v="1.2999999999999999E-3"/>
    <n v="6566"/>
    <n v="6391"/>
    <n v="175"/>
    <n v="2.6700000000000002E-2"/>
    <x v="83"/>
    <n v="44552"/>
    <n v="3.57"/>
    <x v="1"/>
    <x v="2"/>
    <x v="2"/>
    <n v="69"/>
  </r>
  <r>
    <x v="3"/>
    <x v="22"/>
    <n v="49167"/>
    <n v="0.13789999999999999"/>
    <n v="3442"/>
    <n v="0.25650000000000001"/>
    <x v="78"/>
    <n v="7.6200000000000004E-2"/>
    <n v="86"/>
    <n v="5.8799999999999998E-2"/>
    <n v="444"/>
    <n v="1.5699999999999999E-2"/>
    <n v="6443"/>
    <n v="6443"/>
    <n v="0"/>
    <n v="0"/>
    <x v="84"/>
    <n v="56196"/>
    <n v="1.1299999999999999"/>
    <x v="0"/>
    <x v="2"/>
    <x v="1"/>
    <n v="71"/>
  </r>
  <r>
    <x v="0"/>
    <x v="23"/>
    <n v="392"/>
    <n v="1.06E-2"/>
    <n v="4"/>
    <n v="4.7100000000000003E-2"/>
    <x v="79"/>
    <n v="1.1999999999999999E-3"/>
    <n v="0"/>
    <n v="0"/>
    <n v="0"/>
    <n v="0"/>
    <n v="429"/>
    <n v="429"/>
    <n v="0"/>
    <n v="0"/>
    <x v="85"/>
    <n v="405"/>
    <n v="0.44"/>
    <x v="0"/>
    <x v="0"/>
    <x v="1"/>
    <n v="52"/>
  </r>
  <r>
    <x v="1"/>
    <x v="23"/>
    <n v="1410"/>
    <n v="3.4599999999999999E-2"/>
    <n v="25"/>
    <n v="0.26319999999999999"/>
    <x v="80"/>
    <n v="4.8999999999999998E-3"/>
    <n v="0"/>
    <n v="0"/>
    <n v="2"/>
    <n v="3.3999999999999998E-3"/>
    <n v="469"/>
    <n v="467"/>
    <n v="2"/>
    <n v="4.3E-3"/>
    <x v="86"/>
    <n v="1481"/>
    <n v="0.56999999999999995"/>
    <x v="0"/>
    <x v="0"/>
    <x v="2"/>
    <n v="63"/>
  </r>
  <r>
    <x v="2"/>
    <x v="23"/>
    <n v="2451"/>
    <n v="5.6399999999999999E-2"/>
    <n v="92"/>
    <n v="0.53490000000000004"/>
    <x v="81"/>
    <n v="8.3000000000000001E-3"/>
    <n v="0"/>
    <n v="0"/>
    <n v="4"/>
    <n v="5.5999999999999999E-3"/>
    <n v="501"/>
    <n v="501"/>
    <n v="0"/>
    <n v="0"/>
    <x v="87"/>
    <n v="2637"/>
    <n v="1.02"/>
    <x v="0"/>
    <x v="0"/>
    <x v="1"/>
    <n v="72"/>
  </r>
  <r>
    <x v="3"/>
    <x v="23"/>
    <n v="2867"/>
    <n v="9.7199999999999995E-2"/>
    <n v="207"/>
    <n v="0.65300000000000002"/>
    <x v="82"/>
    <n v="1.1599999999999999E-2"/>
    <n v="16"/>
    <n v="8.5099999999999995E-2"/>
    <n v="2"/>
    <n v="5.3E-3"/>
    <n v="524"/>
    <n v="524"/>
    <n v="0"/>
    <n v="0"/>
    <x v="88"/>
    <n v="3177"/>
    <n v="2.44"/>
    <x v="1"/>
    <x v="0"/>
    <x v="1"/>
    <n v="77"/>
  </r>
  <r>
    <x v="0"/>
    <x v="24"/>
    <n v="3271"/>
    <n v="9.1000000000000004E-3"/>
    <n v="1335"/>
    <n v="0.36880000000000002"/>
    <x v="83"/>
    <n v="2.9999999999999997E-4"/>
    <n v="0"/>
    <n v="0"/>
    <n v="4"/>
    <n v="1E-4"/>
    <n v="13148"/>
    <n v="13148"/>
    <n v="0"/>
    <n v="0"/>
    <x v="89"/>
    <n v="4643"/>
    <n v="40.450000000000003"/>
    <x v="3"/>
    <x v="2"/>
    <x v="1"/>
    <n v="46"/>
  </r>
  <r>
    <x v="1"/>
    <x v="24"/>
    <n v="7610"/>
    <n v="0.02"/>
    <n v="6383"/>
    <n v="0.66520000000000001"/>
    <x v="84"/>
    <n v="2.9999999999999997E-4"/>
    <n v="0"/>
    <n v="0"/>
    <n v="19"/>
    <n v="4.0000000000000002E-4"/>
    <n v="13556"/>
    <n v="13431"/>
    <n v="125"/>
    <n v="9.1999999999999998E-3"/>
    <x v="90"/>
    <n v="14054"/>
    <n v="100"/>
    <x v="3"/>
    <x v="2"/>
    <x v="2"/>
    <n v="47"/>
  </r>
  <r>
    <x v="2"/>
    <x v="24"/>
    <n v="8753"/>
    <n v="2.0500000000000001E-2"/>
    <n v="16114"/>
    <n v="0.7853"/>
    <x v="85"/>
    <n v="5.5999999999999999E-3"/>
    <n v="0"/>
    <n v="0"/>
    <n v="94"/>
    <n v="1.8E-3"/>
    <n v="14311"/>
    <n v="14311"/>
    <n v="0"/>
    <n v="0"/>
    <x v="91"/>
    <n v="25741"/>
    <n v="20.66"/>
    <x v="3"/>
    <x v="2"/>
    <x v="1"/>
    <n v="61"/>
  </r>
  <r>
    <x v="3"/>
    <x v="24"/>
    <n v="13453"/>
    <n v="5.9200000000000003E-2"/>
    <n v="6201"/>
    <n v="0.80059999999999998"/>
    <x v="86"/>
    <n v="2.8000000000000001E-2"/>
    <n v="0"/>
    <n v="0"/>
    <n v="141"/>
    <n v="4.0000000000000001E-3"/>
    <n v="15293"/>
    <n v="15293"/>
    <n v="0"/>
    <n v="0"/>
    <x v="92"/>
    <n v="22328"/>
    <n v="2.4500000000000002"/>
    <x v="1"/>
    <x v="2"/>
    <x v="1"/>
    <n v="73"/>
  </r>
  <r>
    <x v="0"/>
    <x v="25"/>
    <n v="13960"/>
    <n v="1.84E-2"/>
    <n v="8936"/>
    <n v="0.53939999999999999"/>
    <x v="87"/>
    <n v="3.7000000000000002E-3"/>
    <n v="0"/>
    <n v="0"/>
    <n v="12"/>
    <n v="1E-4"/>
    <n v="14441"/>
    <n v="14441"/>
    <n v="0"/>
    <n v="0"/>
    <x v="93"/>
    <n v="23462"/>
    <n v="16.13"/>
    <x v="3"/>
    <x v="2"/>
    <x v="1"/>
    <n v="52"/>
  </r>
  <r>
    <x v="1"/>
    <x v="25"/>
    <n v="54132"/>
    <n v="6.0400000000000002E-2"/>
    <n v="22633"/>
    <n v="0.63859999999999995"/>
    <x v="88"/>
    <n v="8.3000000000000001E-3"/>
    <n v="5"/>
    <n v="2.8E-3"/>
    <n v="2"/>
    <n v="0"/>
    <n v="15784"/>
    <n v="15784"/>
    <n v="0"/>
    <n v="0"/>
    <x v="94"/>
    <n v="78240"/>
    <n v="15.42"/>
    <x v="3"/>
    <x v="2"/>
    <x v="1"/>
    <n v="65"/>
  </r>
  <r>
    <x v="2"/>
    <x v="25"/>
    <n v="59470"/>
    <n v="5.6300000000000003E-2"/>
    <n v="29732"/>
    <n v="0.60009999999999997"/>
    <x v="89"/>
    <n v="2.2499999999999999E-2"/>
    <n v="6"/>
    <n v="1.8E-3"/>
    <n v="120"/>
    <n v="5.9999999999999995E-4"/>
    <n v="17399"/>
    <n v="17206"/>
    <n v="193"/>
    <n v="1.11E-2"/>
    <x v="95"/>
    <n v="93818"/>
    <n v="6.62"/>
    <x v="3"/>
    <x v="2"/>
    <x v="2"/>
    <n v="70"/>
  </r>
  <r>
    <x v="3"/>
    <x v="25"/>
    <n v="42162"/>
    <n v="8.7499999999999994E-2"/>
    <n v="11099"/>
    <n v="0.52170000000000005"/>
    <x v="90"/>
    <n v="6.6699999999999995E-2"/>
    <n v="7"/>
    <n v="3.3E-3"/>
    <n v="1062"/>
    <n v="1.0200000000000001E-2"/>
    <n v="18128"/>
    <n v="18128"/>
    <n v="0"/>
    <n v="0"/>
    <x v="96"/>
    <n v="62781"/>
    <n v="1.31"/>
    <x v="0"/>
    <x v="2"/>
    <x v="1"/>
    <n v="71"/>
  </r>
  <r>
    <x v="0"/>
    <x v="26"/>
    <n v="0"/>
    <n v="0"/>
    <n v="0"/>
    <n v="0"/>
    <x v="8"/>
    <n v="0"/>
    <n v="0"/>
    <n v="0"/>
    <n v="0"/>
    <n v="0"/>
    <n v="120"/>
    <n v="120"/>
    <n v="0"/>
    <n v="0"/>
    <x v="97"/>
    <n v="0"/>
    <m/>
    <x v="2"/>
    <x v="0"/>
    <x v="1"/>
    <n v="63"/>
  </r>
  <r>
    <x v="1"/>
    <x v="26"/>
    <n v="0"/>
    <n v="0"/>
    <n v="0"/>
    <n v="0"/>
    <x v="8"/>
    <n v="0"/>
    <n v="0"/>
    <n v="0"/>
    <n v="0"/>
    <n v="0"/>
    <n v="133"/>
    <n v="133"/>
    <n v="0"/>
    <n v="0"/>
    <x v="98"/>
    <n v="0"/>
    <m/>
    <x v="2"/>
    <x v="0"/>
    <x v="1"/>
    <n v="66"/>
  </r>
  <r>
    <x v="2"/>
    <x v="26"/>
    <n v="0"/>
    <n v="0"/>
    <n v="0"/>
    <n v="0"/>
    <x v="8"/>
    <n v="0"/>
    <n v="0"/>
    <n v="0"/>
    <n v="0"/>
    <n v="0"/>
    <n v="124"/>
    <n v="124"/>
    <n v="0"/>
    <n v="0"/>
    <x v="99"/>
    <n v="0"/>
    <m/>
    <x v="2"/>
    <x v="0"/>
    <x v="1"/>
    <n v="70"/>
  </r>
  <r>
    <x v="3"/>
    <x v="26"/>
    <n v="6"/>
    <n v="2E-3"/>
    <n v="0"/>
    <n v="0"/>
    <x v="45"/>
    <n v="2.3999999999999998E-3"/>
    <n v="0"/>
    <n v="0"/>
    <n v="0"/>
    <n v="0"/>
    <n v="133"/>
    <n v="133"/>
    <n v="0"/>
    <n v="3.0000000000000001E-3"/>
    <x v="100"/>
    <n v="11"/>
    <n v="0"/>
    <x v="0"/>
    <x v="0"/>
    <x v="2"/>
    <n v="80"/>
  </r>
  <r>
    <x v="0"/>
    <x v="27"/>
    <n v="23934"/>
    <n v="1.9800000000000002E-2"/>
    <n v="4263"/>
    <n v="0.28299999999999997"/>
    <x v="91"/>
    <n v="4.7000000000000002E-3"/>
    <n v="0"/>
    <n v="0"/>
    <n v="884"/>
    <n v="9.7000000000000003E-3"/>
    <n v="16263"/>
    <n v="16263"/>
    <n v="0"/>
    <n v="0"/>
    <x v="101"/>
    <n v="30030"/>
    <n v="4.49"/>
    <x v="1"/>
    <x v="0"/>
    <x v="1"/>
    <n v="61"/>
  </r>
  <r>
    <x v="1"/>
    <x v="27"/>
    <n v="61626"/>
    <n v="4.6199999999999998E-2"/>
    <n v="2691"/>
    <n v="0.1211"/>
    <x v="92"/>
    <n v="1.0500000000000001E-2"/>
    <n v="0"/>
    <n v="0"/>
    <n v="182"/>
    <n v="1.6999999999999999E-3"/>
    <n v="16891"/>
    <n v="16891"/>
    <n v="0"/>
    <n v="0"/>
    <x v="102"/>
    <n v="66955"/>
    <n v="1.1000000000000001"/>
    <x v="0"/>
    <x v="0"/>
    <x v="1"/>
    <n v="76"/>
  </r>
  <r>
    <x v="2"/>
    <x v="27"/>
    <n v="78422"/>
    <n v="5.6000000000000001E-2"/>
    <n v="5375"/>
    <n v="0.1201"/>
    <x v="93"/>
    <n v="2.3099999999999999E-2"/>
    <n v="43"/>
    <n v="9.7000000000000003E-3"/>
    <n v="383"/>
    <n v="3.3E-3"/>
    <n v="17729"/>
    <n v="17729"/>
    <n v="0"/>
    <n v="0"/>
    <x v="103"/>
    <n v="90242"/>
    <n v="0.89"/>
    <x v="0"/>
    <x v="0"/>
    <x v="1"/>
    <n v="79"/>
  </r>
  <r>
    <x v="3"/>
    <x v="27"/>
    <n v="92522"/>
    <n v="0.1069"/>
    <n v="4470"/>
    <n v="0.1653"/>
    <x v="94"/>
    <n v="5.7700000000000001E-2"/>
    <n v="277"/>
    <n v="6.8099999999999994E-2"/>
    <n v="991"/>
    <n v="1.4500000000000001E-2"/>
    <n v="19045"/>
    <n v="19045"/>
    <n v="0"/>
    <n v="0"/>
    <x v="104"/>
    <n v="107425"/>
    <n v="0.49"/>
    <x v="0"/>
    <x v="0"/>
    <x v="1"/>
    <n v="81"/>
  </r>
  <r>
    <x v="0"/>
    <x v="28"/>
    <n v="0"/>
    <n v="0"/>
    <n v="0"/>
    <n v="0"/>
    <x v="8"/>
    <n v="0"/>
    <n v="0"/>
    <n v="0"/>
    <n v="0"/>
    <n v="0"/>
    <n v="13688"/>
    <n v="13688"/>
    <n v="0"/>
    <n v="0"/>
    <x v="105"/>
    <n v="0"/>
    <m/>
    <x v="2"/>
    <x v="0"/>
    <x v="1"/>
    <n v="50"/>
  </r>
  <r>
    <x v="1"/>
    <x v="28"/>
    <n v="0"/>
    <n v="0"/>
    <n v="0"/>
    <n v="0"/>
    <x v="8"/>
    <n v="0"/>
    <n v="0"/>
    <n v="0"/>
    <n v="0"/>
    <n v="0"/>
    <n v="14163"/>
    <n v="14160"/>
    <n v="3"/>
    <n v="2.0000000000000001E-4"/>
    <x v="106"/>
    <n v="0"/>
    <m/>
    <x v="2"/>
    <x v="0"/>
    <x v="2"/>
    <n v="53"/>
  </r>
  <r>
    <x v="2"/>
    <x v="28"/>
    <n v="0"/>
    <n v="0"/>
    <n v="0"/>
    <n v="0"/>
    <x v="8"/>
    <n v="0"/>
    <n v="0"/>
    <n v="0"/>
    <n v="0"/>
    <n v="0"/>
    <n v="15497"/>
    <n v="15497"/>
    <n v="0"/>
    <n v="0"/>
    <x v="107"/>
    <n v="0"/>
    <m/>
    <x v="2"/>
    <x v="0"/>
    <x v="1"/>
    <n v="56"/>
  </r>
  <r>
    <x v="3"/>
    <x v="28"/>
    <n v="8969"/>
    <n v="0.15440000000000001"/>
    <n v="0"/>
    <n v="0"/>
    <x v="95"/>
    <n v="0.16370000000000001"/>
    <n v="0"/>
    <n v="0"/>
    <n v="0"/>
    <n v="0"/>
    <n v="15622"/>
    <n v="15622"/>
    <n v="0"/>
    <n v="0"/>
    <x v="108"/>
    <n v="12289"/>
    <n v="0"/>
    <x v="0"/>
    <x v="0"/>
    <x v="1"/>
    <n v="84"/>
  </r>
  <r>
    <x v="0"/>
    <x v="29"/>
    <n v="3"/>
    <n v="1E-4"/>
    <n v="2426"/>
    <n v="0.41639999999999999"/>
    <x v="45"/>
    <n v="1.1999999999999999E-3"/>
    <n v="0"/>
    <n v="0"/>
    <n v="1"/>
    <n v="4.0000000000000002E-4"/>
    <n v="317"/>
    <n v="315"/>
    <n v="2"/>
    <n v="6.3E-3"/>
    <x v="109"/>
    <n v="2435"/>
    <n v="100"/>
    <x v="3"/>
    <x v="2"/>
    <x v="2"/>
    <n v="46"/>
  </r>
  <r>
    <x v="1"/>
    <x v="29"/>
    <n v="196"/>
    <n v="5.3E-3"/>
    <n v="3975"/>
    <n v="0.49509999999999998"/>
    <x v="8"/>
    <n v="0"/>
    <n v="0"/>
    <n v="0"/>
    <n v="7"/>
    <n v="2.5000000000000001E-3"/>
    <n v="328"/>
    <n v="327"/>
    <n v="1"/>
    <n v="3.0000000000000001E-3"/>
    <x v="110"/>
    <n v="4178"/>
    <m/>
    <x v="2"/>
    <x v="2"/>
    <x v="2"/>
    <n v="44"/>
  </r>
  <r>
    <x v="2"/>
    <x v="29"/>
    <n v="256"/>
    <n v="6.4999999999999997E-3"/>
    <n v="6025"/>
    <n v="0.61829999999999996"/>
    <x v="68"/>
    <n v="5.5999999999999999E-3"/>
    <n v="0"/>
    <n v="0"/>
    <n v="1"/>
    <n v="4.0000000000000002E-4"/>
    <n v="333"/>
    <n v="333"/>
    <n v="0"/>
    <n v="0"/>
    <x v="111"/>
    <n v="6312"/>
    <n v="100"/>
    <x v="3"/>
    <x v="2"/>
    <x v="1"/>
    <n v="59"/>
  </r>
  <r>
    <x v="3"/>
    <x v="29"/>
    <n v="195"/>
    <n v="1.38E-2"/>
    <n v="3438"/>
    <n v="0.77090000000000003"/>
    <x v="2"/>
    <n v="4.5999999999999999E-3"/>
    <n v="0"/>
    <n v="0"/>
    <n v="52"/>
    <n v="3.6999999999999998E-2"/>
    <n v="362"/>
    <n v="362"/>
    <n v="0"/>
    <n v="0"/>
    <x v="112"/>
    <n v="3699"/>
    <n v="100"/>
    <x v="3"/>
    <x v="2"/>
    <x v="1"/>
    <n v="58"/>
  </r>
  <r>
    <x v="0"/>
    <x v="30"/>
    <n v="6290"/>
    <n v="2.8999999999999998E-3"/>
    <n v="60117"/>
    <n v="0.65059999999999996"/>
    <x v="96"/>
    <n v="2.0000000000000001E-4"/>
    <n v="192"/>
    <n v="0.1411"/>
    <n v="24"/>
    <n v="1E-4"/>
    <n v="23797"/>
    <n v="23747"/>
    <n v="50"/>
    <n v="2.0999999999999999E-3"/>
    <x v="113"/>
    <n v="66702"/>
    <n v="100"/>
    <x v="3"/>
    <x v="1"/>
    <x v="2"/>
    <n v="40"/>
  </r>
  <r>
    <x v="1"/>
    <x v="30"/>
    <n v="23581"/>
    <n v="1.04E-2"/>
    <n v="138569"/>
    <n v="0.76839999999999997"/>
    <x v="97"/>
    <n v="5.9999999999999995E-4"/>
    <n v="465"/>
    <n v="9.0499999999999997E-2"/>
    <n v="32"/>
    <n v="2.0000000000000001E-4"/>
    <n v="24965"/>
    <n v="24795"/>
    <n v="170"/>
    <n v="6.7999999999999996E-3"/>
    <x v="114"/>
    <n v="162857"/>
    <n v="100"/>
    <x v="3"/>
    <x v="1"/>
    <x v="2"/>
    <n v="41"/>
  </r>
  <r>
    <x v="2"/>
    <x v="30"/>
    <n v="39968"/>
    <n v="1.6E-2"/>
    <n v="232595"/>
    <n v="0.81279999999999997"/>
    <x v="98"/>
    <n v="1.15E-2"/>
    <n v="50"/>
    <n v="4.8999999999999998E-3"/>
    <n v="107"/>
    <n v="5.0000000000000001E-4"/>
    <n v="27369"/>
    <n v="26589"/>
    <n v="780"/>
    <n v="2.8500000000000001E-2"/>
    <x v="115"/>
    <n v="277300"/>
    <n v="50.78"/>
    <x v="3"/>
    <x v="1"/>
    <x v="2"/>
    <n v="65"/>
  </r>
  <r>
    <x v="3"/>
    <x v="30"/>
    <n v="61823"/>
    <n v="4.48E-2"/>
    <n v="106430"/>
    <n v="0.88139999999999996"/>
    <x v="99"/>
    <n v="2.7799999999999998E-2"/>
    <n v="61"/>
    <n v="1.1299999999999999E-2"/>
    <n v="678"/>
    <n v="5.7999999999999996E-3"/>
    <n v="28704"/>
    <n v="28284"/>
    <n v="420"/>
    <n v="1.4999999999999999E-2"/>
    <x v="116"/>
    <n v="175569"/>
    <n v="16.18"/>
    <x v="3"/>
    <x v="1"/>
    <x v="2"/>
    <n v="66"/>
  </r>
  <r>
    <x v="0"/>
    <x v="31"/>
    <n v="1211"/>
    <n v="8.8000000000000005E-3"/>
    <n v="3981"/>
    <n v="0.79190000000000005"/>
    <x v="100"/>
    <n v="2.8E-3"/>
    <n v="10"/>
    <n v="8.4000000000000005E-2"/>
    <n v="0"/>
    <n v="0"/>
    <n v="2372"/>
    <n v="2372"/>
    <n v="0"/>
    <n v="0"/>
    <x v="117"/>
    <n v="5324"/>
    <n v="32.630000000000003"/>
    <x v="3"/>
    <x v="2"/>
    <x v="1"/>
    <n v="54"/>
  </r>
  <r>
    <x v="1"/>
    <x v="31"/>
    <n v="5696"/>
    <n v="3.5499999999999997E-2"/>
    <n v="9456"/>
    <n v="0.8851"/>
    <x v="101"/>
    <n v="7.9000000000000008E-3"/>
    <n v="24"/>
    <n v="4.2900000000000001E-2"/>
    <n v="0"/>
    <n v="0"/>
    <n v="2468"/>
    <n v="2468"/>
    <n v="0"/>
    <n v="0"/>
    <x v="118"/>
    <n v="15561"/>
    <n v="24.56"/>
    <x v="3"/>
    <x v="0"/>
    <x v="1"/>
    <n v="68"/>
  </r>
  <r>
    <x v="2"/>
    <x v="31"/>
    <n v="5688"/>
    <n v="3.27E-2"/>
    <n v="10617"/>
    <n v="0.80059999999999998"/>
    <x v="102"/>
    <n v="8.8000000000000005E-3"/>
    <n v="0"/>
    <n v="0"/>
    <n v="1"/>
    <n v="1E-4"/>
    <n v="2594"/>
    <n v="2594"/>
    <n v="0"/>
    <n v="0"/>
    <x v="119"/>
    <n v="16794"/>
    <n v="21.76"/>
    <x v="3"/>
    <x v="0"/>
    <x v="1"/>
    <n v="72"/>
  </r>
  <r>
    <x v="3"/>
    <x v="31"/>
    <n v="4401"/>
    <n v="5.2699999999999997E-2"/>
    <n v="4224"/>
    <n v="0.93720000000000003"/>
    <x v="103"/>
    <n v="2.4799999999999999E-2"/>
    <n v="0"/>
    <n v="0"/>
    <n v="47"/>
    <n v="7.7999999999999996E-3"/>
    <n v="2635"/>
    <n v="2405"/>
    <n v="230"/>
    <n v="8.6999999999999994E-2"/>
    <x v="120"/>
    <n v="9494"/>
    <n v="5.14"/>
    <x v="3"/>
    <x v="0"/>
    <x v="0"/>
    <n v="74"/>
  </r>
  <r>
    <x v="0"/>
    <x v="32"/>
    <n v="915"/>
    <n v="1.1000000000000001E-3"/>
    <n v="5158"/>
    <n v="0.4032"/>
    <x v="104"/>
    <n v="3.3999999999999998E-3"/>
    <n v="1"/>
    <n v="4.0000000000000002E-4"/>
    <n v="0"/>
    <n v="0"/>
    <n v="8846"/>
    <n v="8846"/>
    <n v="0"/>
    <n v="0"/>
    <x v="121"/>
    <n v="6408"/>
    <n v="15.44"/>
    <x v="3"/>
    <x v="2"/>
    <x v="1"/>
    <n v="51"/>
  </r>
  <r>
    <x v="1"/>
    <x v="32"/>
    <n v="8410"/>
    <n v="1.04E-2"/>
    <n v="1766"/>
    <n v="0.27510000000000001"/>
    <x v="105"/>
    <n v="9.1999999999999998E-3"/>
    <n v="11"/>
    <n v="3.7000000000000002E-3"/>
    <n v="2"/>
    <n v="0"/>
    <n v="9089"/>
    <n v="9087"/>
    <n v="2"/>
    <n v="2.0000000000000001E-4"/>
    <x v="122"/>
    <n v="11142"/>
    <n v="1.85"/>
    <x v="0"/>
    <x v="2"/>
    <x v="2"/>
    <n v="66"/>
  </r>
  <r>
    <x v="2"/>
    <x v="32"/>
    <n v="11429"/>
    <n v="1.37E-2"/>
    <n v="7272"/>
    <n v="0.56159999999999999"/>
    <x v="106"/>
    <n v="2.46E-2"/>
    <n v="14"/>
    <n v="4.3E-3"/>
    <n v="138"/>
    <n v="2.8999999999999998E-3"/>
    <n v="10125"/>
    <n v="9900"/>
    <n v="225"/>
    <n v="2.2200000000000001E-2"/>
    <x v="123"/>
    <n v="21455"/>
    <n v="2.79"/>
    <x v="1"/>
    <x v="2"/>
    <x v="2"/>
    <n v="69"/>
  </r>
  <r>
    <x v="3"/>
    <x v="32"/>
    <n v="7774"/>
    <n v="0.03"/>
    <n v="38851"/>
    <n v="0.94579999999999997"/>
    <x v="107"/>
    <n v="5.1299999999999998E-2"/>
    <n v="20"/>
    <n v="1.32E-2"/>
    <n v="96"/>
    <n v="5.4999999999999997E-3"/>
    <n v="11626"/>
    <n v="11626"/>
    <n v="0"/>
    <n v="0"/>
    <x v="124"/>
    <n v="48486"/>
    <n v="22.26"/>
    <x v="3"/>
    <x v="2"/>
    <x v="1"/>
    <n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9FB9AB-C654-4546-8C6B-07A4F1FE2766}" name="Average of ratio of 3w vs 4w"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53:D258" firstHeaderRow="1" firstDataRow="1" firstDataCol="1"/>
  <pivotFields count="24">
    <pivotField axis="axisRow" showAll="0">
      <items count="5">
        <item x="0"/>
        <item x="1"/>
        <item x="2"/>
        <item x="3"/>
        <item t="default"/>
      </items>
    </pivotField>
    <pivotField showAll="0"/>
    <pivotField showAll="0"/>
    <pivotField numFmtId="10" showAll="0"/>
    <pivotField showAll="0"/>
    <pivotField numFmtId="10" showAll="0"/>
    <pivotField showAll="0"/>
    <pivotField numFmtId="10" showAll="0"/>
    <pivotField showAll="0"/>
    <pivotField numFmtId="10" showAll="0"/>
    <pivotField showAll="0"/>
    <pivotField numFmtId="10" showAll="0"/>
    <pivotField showAll="0"/>
    <pivotField showAll="0"/>
    <pivotField showAll="0"/>
    <pivotField numFmtId="10" showAll="0"/>
    <pivotField showAll="0"/>
    <pivotField showAll="0"/>
    <pivotField dataField="1" showAll="0"/>
    <pivotField showAll="0"/>
    <pivotField showAll="0"/>
    <pivotField showAll="0"/>
    <pivotField showAll="0"/>
    <pivotField dragToRow="0" dragToCol="0" dragToPage="0" showAll="0" defaultSubtotal="0"/>
  </pivotFields>
  <rowFields count="1">
    <field x="0"/>
  </rowFields>
  <rowItems count="5">
    <i>
      <x/>
    </i>
    <i>
      <x v="1"/>
    </i>
    <i>
      <x v="2"/>
    </i>
    <i>
      <x v="3"/>
    </i>
    <i t="grand">
      <x/>
    </i>
  </rowItems>
  <colItems count="1">
    <i/>
  </colItems>
  <dataFields count="1">
    <dataField name="Average of Ratio_3W_to_4W" fld="18"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94BC13-92EB-472F-B588-A04327BA17F9}" name="Sum of EV Sales each Year"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36:D241" firstHeaderRow="1" firstDataRow="1" firstDataCol="1"/>
  <pivotFields count="24">
    <pivotField axis="axisRow" showAll="0">
      <items count="5">
        <item x="0"/>
        <item x="1"/>
        <item x="2"/>
        <item x="3"/>
        <item t="default"/>
      </items>
    </pivotField>
    <pivotField showAll="0"/>
    <pivotField showAll="0"/>
    <pivotField numFmtId="10" showAll="0"/>
    <pivotField showAll="0"/>
    <pivotField numFmtId="10" showAll="0"/>
    <pivotField showAll="0"/>
    <pivotField numFmtId="10" showAll="0"/>
    <pivotField showAll="0"/>
    <pivotField numFmtId="10" showAll="0"/>
    <pivotField showAll="0"/>
    <pivotField numFmtId="10" showAll="0"/>
    <pivotField showAll="0"/>
    <pivotField showAll="0"/>
    <pivotField showAll="0"/>
    <pivotField numFmtId="10" showAll="0"/>
    <pivotField showAll="0"/>
    <pivotField dataField="1" showAll="0"/>
    <pivotField showAll="0"/>
    <pivotField showAll="0"/>
    <pivotField showAll="0"/>
    <pivotField showAll="0"/>
    <pivotField showAll="0"/>
    <pivotField dragToRow="0" dragToCol="0" dragToPage="0" showAll="0" defaultSubtotal="0"/>
  </pivotFields>
  <rowFields count="1">
    <field x="0"/>
  </rowFields>
  <rowItems count="5">
    <i>
      <x/>
    </i>
    <i>
      <x v="1"/>
    </i>
    <i>
      <x v="2"/>
    </i>
    <i>
      <x v="3"/>
    </i>
    <i t="grand">
      <x/>
    </i>
  </rowItems>
  <colItems count="1">
    <i/>
  </colItems>
  <dataFields count="1">
    <dataField name="Sum of Total_EV_Sales" fld="17" baseField="0" baseItem="0"/>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C26323-8DD1-4181-B92F-E5EDD39E18D0}" name="3W AND 4W EV Sale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71:E176" firstHeaderRow="0" firstDataRow="1" firstDataCol="1"/>
  <pivotFields count="24">
    <pivotField axis="axisRow" showAll="0">
      <items count="5">
        <item x="0"/>
        <item x="1"/>
        <item x="2"/>
        <item x="3"/>
        <item t="default"/>
      </items>
    </pivotField>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numFmtId="10" showAll="0"/>
    <pivotField dataField="1" showAll="0"/>
    <pivotField numFmtId="10" showAll="0"/>
    <pivotField dataField="1" showAll="0"/>
    <pivotField numFmtId="10" showAll="0"/>
    <pivotField showAll="0"/>
    <pivotField numFmtId="10" showAll="0"/>
    <pivotField showAll="0"/>
    <pivotField numFmtId="10" showAll="0"/>
    <pivotField showAll="0"/>
    <pivotField showAll="0"/>
    <pivotField showAll="0"/>
    <pivotField numFmtId="10" showAll="0"/>
    <pivotField showAll="0"/>
    <pivotField showAll="0"/>
    <pivotField showAll="0"/>
    <pivotField showAll="0">
      <items count="5">
        <item x="0"/>
        <item x="1"/>
        <item x="3"/>
        <item x="2"/>
        <item t="default"/>
      </items>
    </pivotField>
    <pivotField showAll="0">
      <items count="4">
        <item x="0"/>
        <item x="1"/>
        <item x="2"/>
        <item t="default"/>
      </items>
    </pivotField>
    <pivotField showAll="0">
      <items count="4">
        <item x="0"/>
        <item x="2"/>
        <item x="1"/>
        <item t="default"/>
      </items>
    </pivotField>
    <pivotField showAll="0"/>
    <pivotField dragToRow="0" dragToCol="0" dragToPage="0" showAll="0" defaultSubtotal="0"/>
  </pivotFields>
  <rowFields count="1">
    <field x="0"/>
  </rowFields>
  <rowItems count="5">
    <i>
      <x/>
    </i>
    <i>
      <x v="1"/>
    </i>
    <i>
      <x v="2"/>
    </i>
    <i>
      <x v="3"/>
    </i>
    <i t="grand">
      <x/>
    </i>
  </rowItems>
  <colFields count="1">
    <field x="-2"/>
  </colFields>
  <colItems count="2">
    <i>
      <x/>
    </i>
    <i i="1">
      <x v="1"/>
    </i>
  </colItems>
  <dataFields count="2">
    <dataField name="Sum of 4W EV Sales" fld="6" baseField="0" baseItem="0"/>
    <dataField name="Sum of 3W EV Sales" fld="4" baseField="0" baseItem="0"/>
  </dataFields>
  <chartFormats count="2">
    <chartFormat chart="2"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8D06F8-160D-4769-8E6D-7F02A37E918A}" name="EV Sales by Electricity Debt Category"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location ref="D69:E73" firstHeaderRow="1" firstDataRow="1" firstDataCol="1"/>
  <pivotFields count="24">
    <pivotField showAll="0">
      <items count="5">
        <item x="0"/>
        <item x="1"/>
        <item x="2"/>
        <item x="3"/>
        <item t="default"/>
      </items>
    </pivotField>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1"/>
        <item x="3"/>
        <item x="2"/>
        <item t="default"/>
      </items>
    </pivotField>
    <pivotField showAll="0">
      <items count="4">
        <item x="0"/>
        <item x="1"/>
        <item x="2"/>
        <item t="default"/>
      </items>
    </pivotField>
    <pivotField axis="axisRow" showAll="0">
      <items count="4">
        <item x="0"/>
        <item x="2"/>
        <item x="1"/>
        <item t="default"/>
      </items>
    </pivotField>
    <pivotField showAll="0"/>
    <pivotField dragToRow="0" dragToCol="0" dragToPage="0" showAll="0" defaultSubtotal="0"/>
  </pivotFields>
  <rowFields count="1">
    <field x="21"/>
  </rowFields>
  <rowItems count="4">
    <i>
      <x/>
    </i>
    <i>
      <x v="1"/>
    </i>
    <i>
      <x v="2"/>
    </i>
    <i t="grand">
      <x/>
    </i>
  </rowItems>
  <colItems count="1">
    <i/>
  </colItems>
  <dataFields count="1">
    <dataField name="Sum of Total_EV_Sales" fld="17" baseField="0" baseItem="0"/>
  </dataFields>
  <chartFormats count="6">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21" count="1" selected="0">
            <x v="2"/>
          </reference>
        </references>
      </pivotArea>
    </chartFormat>
    <chartFormat chart="49" format="4">
      <pivotArea type="data" outline="0" fieldPosition="0">
        <references count="2">
          <reference field="4294967294" count="1" selected="0">
            <x v="0"/>
          </reference>
          <reference field="21" count="1" selected="0">
            <x v="1"/>
          </reference>
        </references>
      </pivotArea>
    </chartFormat>
    <chartFormat chart="49" format="5">
      <pivotArea type="data" outline="0" fieldPosition="0">
        <references count="2">
          <reference field="4294967294" count="1" selected="0">
            <x v="0"/>
          </reference>
          <reference field="21"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2E51C7-E040-4C40-8DCC-04D7D310347D}" name="3W TO 4W Ratio each state"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80:I115" firstHeaderRow="1" firstDataRow="2" firstDataCol="1"/>
  <pivotFields count="24">
    <pivotField axis="axisCol" showAll="0">
      <items count="5">
        <item x="0"/>
        <item x="1"/>
        <item x="2"/>
        <item x="3"/>
        <item t="default"/>
      </items>
    </pivotField>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0"/>
        <item h="1" x="1"/>
        <item h="1" x="3"/>
        <item h="1" x="2"/>
        <item t="default"/>
      </items>
    </pivotField>
    <pivotField showAll="0"/>
    <pivotField showAll="0"/>
    <pivotField showAll="0"/>
    <pivotField dragToRow="0" dragToCol="0" dragToPage="0" showAll="0" defaultSubtota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0"/>
  </colFields>
  <colItems count="5">
    <i>
      <x/>
    </i>
    <i>
      <x v="1"/>
    </i>
    <i>
      <x v="2"/>
    </i>
    <i>
      <x v="3"/>
    </i>
    <i t="grand">
      <x/>
    </i>
  </colItems>
  <dataFields count="1">
    <dataField name="Average of Ratio_3W_to_4W" fld="18" subtotal="average" baseField="1" baseItem="0"/>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182220-EC56-4687-95CF-1FB16AD1DE82}" name="Count of Buyer Type"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fieldListSortAscending="1">
  <location ref="D50:E55" firstHeaderRow="1" firstDataRow="1" firstDataCol="1"/>
  <pivotFields count="24">
    <pivotField showAll="0">
      <items count="5">
        <item x="0"/>
        <item x="1"/>
        <item x="2"/>
        <item x="3"/>
        <item t="default"/>
      </items>
    </pivotField>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1"/>
        <item x="3"/>
        <item x="2"/>
        <item t="default"/>
      </items>
    </pivotField>
    <pivotField showAll="0"/>
    <pivotField showAll="0"/>
    <pivotField showAll="0"/>
    <pivotField dragToRow="0" dragToCol="0" dragToPage="0" showAll="0" defaultSubtotal="0"/>
  </pivotFields>
  <rowFields count="1">
    <field x="19"/>
  </rowFields>
  <rowItems count="5">
    <i>
      <x/>
    </i>
    <i>
      <x v="1"/>
    </i>
    <i>
      <x v="2"/>
    </i>
    <i>
      <x v="3"/>
    </i>
    <i t="grand">
      <x/>
    </i>
  </rowItems>
  <colItems count="1">
    <i/>
  </colItems>
  <dataFields count="1">
    <dataField name="Count of Buyer_Type" fld="19" subtotal="count" baseField="19" baseItem="0"/>
  </dataFields>
  <chartFormats count="5">
    <chartFormat chart="7" format="38" series="1">
      <pivotArea type="data" outline="0" fieldPosition="0">
        <references count="1">
          <reference field="4294967294" count="1" selected="0">
            <x v="0"/>
          </reference>
        </references>
      </pivotArea>
    </chartFormat>
    <chartFormat chart="7" format="39">
      <pivotArea type="data" outline="0" fieldPosition="0">
        <references count="2">
          <reference field="4294967294" count="1" selected="0">
            <x v="0"/>
          </reference>
          <reference field="19" count="1" selected="0">
            <x v="0"/>
          </reference>
        </references>
      </pivotArea>
    </chartFormat>
    <chartFormat chart="7" format="40">
      <pivotArea type="data" outline="0" fieldPosition="0">
        <references count="2">
          <reference field="4294967294" count="1" selected="0">
            <x v="0"/>
          </reference>
          <reference field="19" count="1" selected="0">
            <x v="1"/>
          </reference>
        </references>
      </pivotArea>
    </chartFormat>
    <chartFormat chart="7" format="41">
      <pivotArea type="data" outline="0" fieldPosition="0">
        <references count="2">
          <reference field="4294967294" count="1" selected="0">
            <x v="0"/>
          </reference>
          <reference field="19" count="1" selected="0">
            <x v="2"/>
          </reference>
        </references>
      </pivotArea>
    </chartFormat>
    <chartFormat chart="7" format="42">
      <pivotArea type="data" outline="0" fieldPosition="0">
        <references count="2">
          <reference field="4294967294" count="1" selected="0">
            <x v="0"/>
          </reference>
          <reference field="19" count="1" selected="0">
            <x v="3"/>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C18998-4DDF-48C3-9AA7-12CA3D40C453}" name="Top 5 EV Sales States"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7">
  <location ref="D7:E12" firstHeaderRow="1" firstDataRow="1" firstDataCol="1" rowPageCount="1" colPageCount="1"/>
  <pivotFields count="24">
    <pivotField axis="axisPage" showAll="0" defaultSubtotal="0">
      <items count="4">
        <item x="0"/>
        <item x="1"/>
        <item x="2"/>
        <item x="3"/>
      </items>
    </pivotField>
    <pivotField axis="axisRow" showAll="0" measureFilter="1" sortType="descending">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1"/>
        <item x="3"/>
        <item x="2"/>
        <item t="default"/>
      </items>
    </pivotField>
    <pivotField showAll="0">
      <items count="4">
        <item x="0"/>
        <item x="1"/>
        <item x="2"/>
        <item t="default"/>
      </items>
    </pivotField>
    <pivotField showAll="0">
      <items count="4">
        <item x="0"/>
        <item x="2"/>
        <item x="1"/>
        <item t="default"/>
      </items>
    </pivotField>
    <pivotField showAll="0"/>
    <pivotField dragToRow="0" dragToCol="0" dragToPage="0" showAll="0" defaultSubtotal="0"/>
  </pivotFields>
  <rowFields count="1">
    <field x="1"/>
  </rowFields>
  <rowItems count="5">
    <i>
      <x v="30"/>
    </i>
    <i>
      <x v="17"/>
    </i>
    <i>
      <x v="14"/>
    </i>
    <i>
      <x v="27"/>
    </i>
    <i>
      <x v="25"/>
    </i>
  </rowItems>
  <colItems count="1">
    <i/>
  </colItems>
  <pageFields count="1">
    <pageField fld="0" hier="-1"/>
  </pageFields>
  <dataFields count="1">
    <dataField name="Sum of Total_EV_Sales" fld="17" baseField="0" baseItem="0"/>
  </dataFields>
  <chartFormats count="1">
    <chartFormat chart="63" format="169"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5D379-10D6-44C3-B1F5-0FD571034D0B}" name="Total EV Sales By Income Category of State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D123:E127" firstHeaderRow="1" firstDataRow="1" firstDataCol="1"/>
  <pivotFields count="24">
    <pivotField showAll="0">
      <items count="5">
        <item x="0"/>
        <item x="1"/>
        <item x="2"/>
        <item x="3"/>
        <item t="default"/>
      </items>
    </pivotField>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1"/>
        <item x="3"/>
        <item x="2"/>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dragToRow="0" dragToCol="0" dragToPage="0" showAll="0" defaultSubtotal="0"/>
  </pivotFields>
  <rowFields count="1">
    <field x="20"/>
  </rowFields>
  <rowItems count="4">
    <i>
      <x/>
    </i>
    <i>
      <x v="2"/>
    </i>
    <i>
      <x v="1"/>
    </i>
    <i t="grand">
      <x/>
    </i>
  </rowItems>
  <colItems count="1">
    <i/>
  </colItems>
  <dataFields count="1">
    <dataField name="Sum of Total_EV_Sales" fld="17" baseField="0" baseItem="0"/>
  </dataFields>
  <chartFormats count="9">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0" count="1" selected="0">
            <x v="1"/>
          </reference>
        </references>
      </pivotArea>
    </chartFormat>
    <chartFormat chart="30" format="1" series="1">
      <pivotArea type="data" outline="0" fieldPosition="0">
        <references count="1">
          <reference field="4294967294" count="1" selected="0">
            <x v="0"/>
          </reference>
        </references>
      </pivotArea>
    </chartFormat>
    <chartFormat chart="30" format="2">
      <pivotArea type="data" outline="0" fieldPosition="0">
        <references count="2">
          <reference field="4294967294" count="1" selected="0">
            <x v="0"/>
          </reference>
          <reference field="20" count="1" selected="0">
            <x v="0"/>
          </reference>
        </references>
      </pivotArea>
    </chartFormat>
    <chartFormat chart="30" format="3">
      <pivotArea type="data" outline="0" fieldPosition="0">
        <references count="2">
          <reference field="4294967294" count="1" selected="0">
            <x v="0"/>
          </reference>
          <reference field="20" count="1" selected="0">
            <x v="1"/>
          </reference>
        </references>
      </pivotArea>
    </chartFormat>
    <chartFormat chart="30" format="4">
      <pivotArea type="data" outline="0" fieldPosition="0">
        <references count="2">
          <reference field="4294967294" count="1" selected="0">
            <x v="0"/>
          </reference>
          <reference field="20" count="1" selected="0">
            <x v="2"/>
          </reference>
        </references>
      </pivotArea>
    </chartFormat>
    <chartFormat chart="31" format="9"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C7EDB02-1CCA-42CC-90C5-0ABD35EBFF8F}" autoFormatId="16" applyNumberFormats="0" applyBorderFormats="0" applyFontFormats="0" applyPatternFormats="0" applyAlignmentFormats="0" applyWidthHeightFormats="0">
  <queryTableRefresh nextId="24">
    <queryTableFields count="23">
      <queryTableField id="1" name="Year" tableColumnId="1"/>
      <queryTableField id="2" name="State" tableColumnId="2"/>
      <queryTableField id="3" name="2W EV Sales" tableColumnId="3"/>
      <queryTableField id="4" name="2W EV Penetration" tableColumnId="4"/>
      <queryTableField id="5" name="3W EV Sales" tableColumnId="5"/>
      <queryTableField id="6" name="3W EV Penetration" tableColumnId="6"/>
      <queryTableField id="7" name="4W EV Sales" tableColumnId="7"/>
      <queryTableField id="8" name="4W EV Penetration" tableColumnId="8"/>
      <queryTableField id="9" name="Bus EV Sales" tableColumnId="9"/>
      <queryTableField id="10" name="Bus EV Penetration" tableColumnId="10"/>
      <queryTableField id="11" name="Others EV Sales" tableColumnId="11"/>
      <queryTableField id="12" name="Others EV Penetration" tableColumnId="12"/>
      <queryTableField id="13" name="Peak Demand (MW)" tableColumnId="13"/>
      <queryTableField id="14" name="Peak Met (MW)" tableColumnId="14"/>
      <queryTableField id="15" name="Demand Not Met (MW)" tableColumnId="15"/>
      <queryTableField id="16" name="Demand Not Met (%)" tableColumnId="16"/>
      <queryTableField id="17" name="Per_Capita_Income" tableColumnId="17"/>
      <queryTableField id="18" name="Total_EV_Sales" tableColumnId="18"/>
      <queryTableField id="19" name="Ratio_3W_to_4W" tableColumnId="19"/>
      <queryTableField id="20" name="Buyer_Type" tableColumnId="20"/>
      <queryTableField id="21" name="Income_Category" tableColumnId="21"/>
      <queryTableField id="22" name="Power_Status" tableColumnId="22"/>
      <queryTableField id="23" name="EV_Readiness_Score"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C7D05BB-FD87-4E69-807E-90F0E1B581CE}" sourceName="Year">
  <pivotTables>
    <pivotTable tabId="5" name="EV Sales by Electricity Debt Category"/>
    <pivotTable tabId="5" name="Total EV Sales By Income Category of States"/>
    <pivotTable tabId="5" name="Count of Buyer Type"/>
    <pivotTable tabId="5" name="Top 5 EV Sales States"/>
    <pivotTable tabId="5" name="Sum of EV Sales each Year"/>
  </pivotTables>
  <data>
    <tabular pivotCacheId="168825275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Type" xr10:uid="{D6D96D8D-E309-4227-AF44-9150FD08BBE7}" sourceName="Buyer_Type">
  <pivotTables>
    <pivotTable tabId="5" name="3W AND 4W EV Sales"/>
    <pivotTable tabId="5" name="EV Sales by Electricity Debt Category"/>
    <pivotTable tabId="5" name="Top 5 EV Sales States"/>
    <pivotTable tabId="5" name="Total EV Sales By Income Category of States"/>
  </pivotTables>
  <data>
    <tabular pivotCacheId="1688252759">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wer_Status" xr10:uid="{590428AA-4625-4513-9A89-08AD2E845DFE}" sourceName="Power_Status">
  <pivotTables>
    <pivotTable tabId="5" name="Top 5 EV Sales States"/>
    <pivotTable tabId="5" name="Total EV Sales By Income Category of States"/>
    <pivotTable tabId="5" name="3W AND 4W EV Sales"/>
  </pivotTables>
  <data>
    <tabular pivotCacheId="168825275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ategory" xr10:uid="{5EF03561-7B70-449B-9AB7-CCFD789E6E45}" sourceName="Income_Category">
  <pivotTables>
    <pivotTable tabId="5" name="Top 5 EV Sales States"/>
    <pivotTable tabId="5" name="EV Sales by Electricity Debt Category"/>
    <pivotTable tabId="5" name="3W AND 4W EV Sales"/>
  </pivotTables>
  <data>
    <tabular pivotCacheId="1688252759">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1852D78-9F3B-4B4C-9F54-55A5AA0CD64E}" sourceName="State">
  <pivotTables>
    <pivotTable tabId="5" name="EV Sales by Electricity Debt Category"/>
    <pivotTable tabId="5" name="Total EV Sales By Income Category of States"/>
    <pivotTable tabId="5" name="3W AND 4W EV Sales"/>
  </pivotTables>
  <data>
    <tabular pivotCacheId="1688252759">
      <items count="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65CD489-E73C-4F3C-93F8-67EF71165A94}" cache="Slicer_Year" caption="Year" rowHeight="241300"/>
  <slicer name="Buyer_Type" xr10:uid="{CE9D9413-115E-488D-ADC9-3B08C3BEBFBB}" cache="Slicer_Buyer_Type" caption="Buyer_Type" rowHeight="241300"/>
  <slicer name="Power_Status" xr10:uid="{2A02B647-EA44-4534-A186-AA9ACA506491}" cache="Slicer_Power_Status" caption="Power_Status" rowHeight="241300"/>
  <slicer name="Income_Category" xr10:uid="{7BBD1D09-19CA-4FC1-9B9D-EB034D5575D5}" cache="Slicer_Income_Category" caption="Income_Category" rowHeight="241300"/>
  <slicer name="State" xr10:uid="{A12537F9-7FFE-40DD-A304-1827F6CD5F42}" cache="Slicer_State" caption="State" startItem="17"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AC4C6-F92D-4810-8971-397FF5A9A06A}" name="Master_query" displayName="Master_query" ref="A1:W133" tableType="queryTable" totalsRowShown="0" headerRowDxfId="11">
  <tableColumns count="23">
    <tableColumn id="1" xr3:uid="{86DC735D-C80E-4DAA-9B53-609C538A0C5E}" uniqueName="1" name="Year" queryTableFieldId="1" dataDxfId="10"/>
    <tableColumn id="2" xr3:uid="{1CB15055-F2DF-4CED-AA7D-53FCCF363061}" uniqueName="2" name="State" queryTableFieldId="2" dataDxfId="9"/>
    <tableColumn id="3" xr3:uid="{8B8AD1DF-8A36-4673-B47F-3E7F2A659E9F}" uniqueName="3" name="2W EV Sales" queryTableFieldId="3"/>
    <tableColumn id="4" xr3:uid="{E8E93AF3-E9DC-4D78-B239-B3D4AEF2D10C}" uniqueName="4" name="2W EV Penetration" queryTableFieldId="4" dataDxfId="5"/>
    <tableColumn id="5" xr3:uid="{B39658CA-0AC2-48B2-8CEA-AAC39AF5E973}" uniqueName="5" name="3W EV Sales" queryTableFieldId="5"/>
    <tableColumn id="6" xr3:uid="{329A656B-F714-4362-930C-B1E98F5BEE33}" uniqueName="6" name="3W EV Penetration" queryTableFieldId="6" dataDxfId="4"/>
    <tableColumn id="7" xr3:uid="{7AE86193-8B2F-4118-897D-5957AF944431}" uniqueName="7" name="4W EV Sales" queryTableFieldId="7"/>
    <tableColumn id="8" xr3:uid="{A5CC7EE0-72B5-4482-9F9D-266B3EE39CF8}" uniqueName="8" name="4W EV Penetration" queryTableFieldId="8" dataDxfId="3"/>
    <tableColumn id="9" xr3:uid="{8C0DEF41-92CE-423A-AF02-23790E256C71}" uniqueName="9" name="Bus EV Sales" queryTableFieldId="9"/>
    <tableColumn id="10" xr3:uid="{E989C17C-7881-4D06-93B7-A1200B3B4848}" uniqueName="10" name="Bus EV Penetration" queryTableFieldId="10" dataDxfId="2"/>
    <tableColumn id="11" xr3:uid="{7CB0D242-3913-4CED-A347-59DC3C9FD2CB}" uniqueName="11" name="Others EV Sales" queryTableFieldId="11"/>
    <tableColumn id="12" xr3:uid="{A6225BE2-A46E-4724-8743-276BEDF878AA}" uniqueName="12" name="Others EV Penetration" queryTableFieldId="12" dataDxfId="1"/>
    <tableColumn id="13" xr3:uid="{73437397-3EEB-4B47-9705-75FE3FDE4C52}" uniqueName="13" name="Peak Demand (MW)" queryTableFieldId="13"/>
    <tableColumn id="14" xr3:uid="{4AABA9A0-C66B-425C-AAE3-6B619DA742DB}" uniqueName="14" name="Peak Met (MW)" queryTableFieldId="14"/>
    <tableColumn id="15" xr3:uid="{D6003401-CF62-49A2-BA1F-8A50BD76BE31}" uniqueName="15" name="Demand Not Met (MW)" queryTableFieldId="15"/>
    <tableColumn id="16" xr3:uid="{0C2A815A-8E16-48A0-9066-4783407A1667}" uniqueName="16" name="Demand Not Met (%)" queryTableFieldId="16" dataDxfId="0"/>
    <tableColumn id="17" xr3:uid="{086F1745-5964-4328-BD9E-0C1932ED1075}" uniqueName="17" name="Per_Capita_Income" queryTableFieldId="17"/>
    <tableColumn id="18" xr3:uid="{7CB46FAF-4061-4AF9-AAC2-A1C330309B46}" uniqueName="18" name="Total_EV_Sales" queryTableFieldId="18"/>
    <tableColumn id="19" xr3:uid="{D01A6DE7-019E-43A5-8044-5661A8FE001A}" uniqueName="19" name="Ratio_3W_to_4W" queryTableFieldId="19"/>
    <tableColumn id="20" xr3:uid="{F7A5B7A0-D7A3-4617-8508-A6FA7326E409}" uniqueName="20" name="Buyer_Type" queryTableFieldId="20"/>
    <tableColumn id="21" xr3:uid="{27365978-BA07-42DB-9EE1-78DFD7A5E646}" uniqueName="21" name="Income_Category" queryTableFieldId="21"/>
    <tableColumn id="22" xr3:uid="{19D6239A-8541-4330-963F-24C6E3FB7CFD}" uniqueName="22" name="Power_Status" queryTableFieldId="22"/>
    <tableColumn id="23" xr3:uid="{7EC39712-F437-433B-9172-EAA08604B5ED}" uniqueName="23" name="EV_Readiness_Score" queryTableFieldId="23"/>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0FBA80E-E00C-4E00-A49E-CBDB1137DEC5}" name="Table58" displayName="Table58" ref="D7:F19" totalsRowShown="0" headerRowDxfId="8">
  <autoFilter ref="D7:F19" xr:uid="{20FBA80E-E00C-4E00-A49E-CBDB1137DEC5}"/>
  <tableColumns count="3">
    <tableColumn id="8" xr3:uid="{3CE27B14-9E99-4FBE-9E3D-D27C1DA37370}" name="S.NO" dataDxfId="7"/>
    <tableColumn id="1" xr3:uid="{1987B4D4-8F62-414E-BAC2-D1DC87572772}" name="Metric "/>
    <tableColumn id="2" xr3:uid="{C624EFDE-ED3D-4C99-B4FA-36A93789D5D6}" name="Formula and Result" dataDxfId="6"/>
  </tableColumns>
  <tableStyleInfo name="TableStyleLight21" showFirstColumn="0" showLastColumn="0" showRowStripes="1" showColumnStripes="0"/>
</table>
</file>

<file path=xl/theme/theme1.xml><?xml version="1.0" encoding="utf-8"?>
<a:theme xmlns:a="http://schemas.openxmlformats.org/drawingml/2006/main" name="Gallery">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9C3FD-8BB8-42E7-B884-A3357201D6D4}">
  <sheetPr codeName="Sheet1"/>
  <dimension ref="A2:L20"/>
  <sheetViews>
    <sheetView showGridLines="0" zoomScale="85" zoomScaleNormal="85" workbookViewId="0">
      <selection activeCell="A26" sqref="A26"/>
    </sheetView>
  </sheetViews>
  <sheetFormatPr defaultRowHeight="20.25" x14ac:dyDescent="0.3"/>
  <cols>
    <col min="1" max="1" width="74" style="13" customWidth="1"/>
    <col min="2" max="2" width="212.625" style="13" customWidth="1"/>
    <col min="3" max="11" width="9" style="13"/>
    <col min="12" max="12" width="42.875" style="13" customWidth="1"/>
    <col min="13" max="16384" width="9" style="13"/>
  </cols>
  <sheetData>
    <row r="2" spans="1:12" ht="33.75" x14ac:dyDescent="0.5">
      <c r="A2" s="16" t="s">
        <v>108</v>
      </c>
      <c r="B2" s="16"/>
      <c r="C2" s="16"/>
      <c r="D2" s="16"/>
      <c r="E2" s="16"/>
      <c r="F2" s="16"/>
      <c r="G2" s="16"/>
      <c r="H2" s="16"/>
      <c r="I2" s="16"/>
      <c r="J2" s="16"/>
      <c r="K2" s="16"/>
      <c r="L2" s="16"/>
    </row>
    <row r="4" spans="1:12" ht="60.75" x14ac:dyDescent="0.3">
      <c r="A4" s="15" t="s">
        <v>109</v>
      </c>
    </row>
    <row r="8" spans="1:12" x14ac:dyDescent="0.3">
      <c r="A8" s="14" t="s">
        <v>98</v>
      </c>
    </row>
    <row r="9" spans="1:12" x14ac:dyDescent="0.3">
      <c r="A9" s="13" t="s">
        <v>99</v>
      </c>
    </row>
    <row r="10" spans="1:12" x14ac:dyDescent="0.3">
      <c r="A10" s="13" t="s">
        <v>100</v>
      </c>
    </row>
    <row r="11" spans="1:12" x14ac:dyDescent="0.3">
      <c r="A11" s="13" t="s">
        <v>101</v>
      </c>
    </row>
    <row r="13" spans="1:12" x14ac:dyDescent="0.3">
      <c r="A13" s="13" t="s">
        <v>105</v>
      </c>
    </row>
    <row r="15" spans="1:12" x14ac:dyDescent="0.3">
      <c r="A15" s="13" t="s">
        <v>106</v>
      </c>
    </row>
    <row r="16" spans="1:12" x14ac:dyDescent="0.3">
      <c r="A16" s="13" t="s">
        <v>102</v>
      </c>
    </row>
    <row r="17" spans="1:1" x14ac:dyDescent="0.3">
      <c r="A17" s="13" t="s">
        <v>103</v>
      </c>
    </row>
    <row r="19" spans="1:1" x14ac:dyDescent="0.3">
      <c r="A19" s="13" t="s">
        <v>107</v>
      </c>
    </row>
    <row r="20" spans="1:1" x14ac:dyDescent="0.3">
      <c r="A20" s="13" t="s">
        <v>104</v>
      </c>
    </row>
  </sheetData>
  <mergeCells count="1">
    <mergeCell ref="A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99949-1341-4689-A9BA-B8477FE10B09}">
  <sheetPr codeName="Sheet2"/>
  <dimension ref="A1:W133"/>
  <sheetViews>
    <sheetView topLeftCell="N1" zoomScale="85" zoomScaleNormal="85" workbookViewId="0">
      <selection activeCell="S21" sqref="S21"/>
    </sheetView>
  </sheetViews>
  <sheetFormatPr defaultRowHeight="14.25" x14ac:dyDescent="0.2"/>
  <cols>
    <col min="1" max="1" width="5.875" bestFit="1" customWidth="1"/>
    <col min="2" max="2" width="23.125" bestFit="1" customWidth="1"/>
    <col min="3" max="3" width="13.625" bestFit="1" customWidth="1"/>
    <col min="4" max="4" width="20.25" style="5" bestFit="1" customWidth="1"/>
    <col min="5" max="5" width="13.625" bestFit="1" customWidth="1"/>
    <col min="6" max="6" width="20.25" style="5" bestFit="1" customWidth="1"/>
    <col min="7" max="7" width="13.625" bestFit="1" customWidth="1"/>
    <col min="8" max="8" width="20.25" style="5" bestFit="1" customWidth="1"/>
    <col min="9" max="9" width="14.5" bestFit="1" customWidth="1"/>
    <col min="10" max="10" width="21.125" style="5" bestFit="1" customWidth="1"/>
    <col min="11" max="11" width="17.75" bestFit="1" customWidth="1"/>
    <col min="12" max="12" width="24.375" style="5" bestFit="1" customWidth="1"/>
    <col min="13" max="13" width="21.125" bestFit="1" customWidth="1"/>
    <col min="14" max="14" width="16.625" bestFit="1" customWidth="1"/>
    <col min="15" max="15" width="24.375" bestFit="1" customWidth="1"/>
    <col min="16" max="16" width="22" style="5" bestFit="1" customWidth="1"/>
    <col min="17" max="17" width="21.125" bestFit="1" customWidth="1"/>
    <col min="18" max="18" width="16.75" bestFit="1" customWidth="1"/>
    <col min="19" max="19" width="18.375" bestFit="1" customWidth="1"/>
    <col min="20" max="20" width="13.125" bestFit="1" customWidth="1"/>
    <col min="21" max="21" width="19.25" bestFit="1" customWidth="1"/>
    <col min="22" max="22" width="15.25" bestFit="1" customWidth="1"/>
    <col min="23" max="23" width="23.375" bestFit="1" customWidth="1"/>
  </cols>
  <sheetData>
    <row r="1" spans="1:23" s="1" customFormat="1" ht="15.75" x14ac:dyDescent="0.25">
      <c r="A1" s="1" t="s">
        <v>0</v>
      </c>
      <c r="B1" s="1" t="s">
        <v>1</v>
      </c>
      <c r="C1" s="1" t="s">
        <v>2</v>
      </c>
      <c r="D1" s="4" t="s">
        <v>3</v>
      </c>
      <c r="E1" s="1" t="s">
        <v>4</v>
      </c>
      <c r="F1" s="4" t="s">
        <v>5</v>
      </c>
      <c r="G1" s="1" t="s">
        <v>6</v>
      </c>
      <c r="H1" s="4" t="s">
        <v>7</v>
      </c>
      <c r="I1" s="1" t="s">
        <v>8</v>
      </c>
      <c r="J1" s="4" t="s">
        <v>9</v>
      </c>
      <c r="K1" s="1" t="s">
        <v>10</v>
      </c>
      <c r="L1" s="4" t="s">
        <v>11</v>
      </c>
      <c r="M1" s="1" t="s">
        <v>12</v>
      </c>
      <c r="N1" s="1" t="s">
        <v>13</v>
      </c>
      <c r="O1" s="1" t="s">
        <v>14</v>
      </c>
      <c r="P1" s="4" t="s">
        <v>15</v>
      </c>
      <c r="Q1" s="1" t="s">
        <v>16</v>
      </c>
      <c r="R1" s="1" t="s">
        <v>17</v>
      </c>
      <c r="S1" s="1" t="s">
        <v>18</v>
      </c>
      <c r="T1" s="1" t="s">
        <v>19</v>
      </c>
      <c r="U1" s="1" t="s">
        <v>20</v>
      </c>
      <c r="V1" s="1" t="s">
        <v>21</v>
      </c>
      <c r="W1" s="7" t="s">
        <v>69</v>
      </c>
    </row>
    <row r="2" spans="1:23" x14ac:dyDescent="0.2">
      <c r="A2" t="s">
        <v>22</v>
      </c>
      <c r="B2" t="s">
        <v>23</v>
      </c>
      <c r="C2">
        <v>0</v>
      </c>
      <c r="D2" s="5">
        <v>0</v>
      </c>
      <c r="E2">
        <v>30</v>
      </c>
      <c r="F2" s="5">
        <v>0.1961</v>
      </c>
      <c r="G2">
        <v>22</v>
      </c>
      <c r="H2" s="5">
        <v>1.8100000000000002E-2</v>
      </c>
      <c r="I2">
        <v>40</v>
      </c>
      <c r="J2" s="5">
        <v>0.93020000000000003</v>
      </c>
      <c r="K2">
        <v>0</v>
      </c>
      <c r="L2" s="5">
        <v>0</v>
      </c>
      <c r="M2">
        <v>58</v>
      </c>
      <c r="N2">
        <v>54</v>
      </c>
      <c r="O2">
        <v>4</v>
      </c>
      <c r="P2" s="5">
        <v>6.9000000000000006E-2</v>
      </c>
      <c r="Q2">
        <v>205368</v>
      </c>
      <c r="R2">
        <v>92</v>
      </c>
      <c r="S2">
        <v>1.36</v>
      </c>
      <c r="T2" t="s">
        <v>24</v>
      </c>
      <c r="U2" t="s">
        <v>25</v>
      </c>
      <c r="V2" t="s">
        <v>26</v>
      </c>
      <c r="W2">
        <v>71</v>
      </c>
    </row>
    <row r="3" spans="1:23" x14ac:dyDescent="0.2">
      <c r="A3" t="s">
        <v>31</v>
      </c>
      <c r="B3" t="s">
        <v>23</v>
      </c>
      <c r="C3">
        <v>16</v>
      </c>
      <c r="D3" s="5">
        <v>3.3999999999999998E-3</v>
      </c>
      <c r="E3">
        <v>0</v>
      </c>
      <c r="F3" s="5">
        <v>0</v>
      </c>
      <c r="G3">
        <v>7</v>
      </c>
      <c r="H3" s="5">
        <v>4.3E-3</v>
      </c>
      <c r="I3">
        <v>0</v>
      </c>
      <c r="J3" s="5">
        <v>0</v>
      </c>
      <c r="K3">
        <v>0</v>
      </c>
      <c r="L3" s="5">
        <v>0</v>
      </c>
      <c r="M3">
        <v>60.1</v>
      </c>
      <c r="N3">
        <v>60.1</v>
      </c>
      <c r="O3">
        <v>0</v>
      </c>
      <c r="P3" s="5">
        <v>0</v>
      </c>
      <c r="Q3">
        <v>229570</v>
      </c>
      <c r="R3">
        <v>23</v>
      </c>
      <c r="S3">
        <v>0</v>
      </c>
      <c r="T3" t="s">
        <v>24</v>
      </c>
      <c r="U3" t="s">
        <v>25</v>
      </c>
      <c r="V3" t="s">
        <v>30</v>
      </c>
      <c r="W3">
        <v>61</v>
      </c>
    </row>
    <row r="4" spans="1:23" x14ac:dyDescent="0.2">
      <c r="A4" t="s">
        <v>34</v>
      </c>
      <c r="B4" t="s">
        <v>23</v>
      </c>
      <c r="C4">
        <v>12</v>
      </c>
      <c r="D4" s="5">
        <v>2.3999999999999998E-3</v>
      </c>
      <c r="E4">
        <v>0</v>
      </c>
      <c r="F4" s="5">
        <v>0</v>
      </c>
      <c r="G4">
        <v>14</v>
      </c>
      <c r="H4" s="5">
        <v>7.4000000000000003E-3</v>
      </c>
      <c r="I4">
        <v>0</v>
      </c>
      <c r="J4" s="5">
        <v>0</v>
      </c>
      <c r="K4">
        <v>0</v>
      </c>
      <c r="L4" s="5">
        <v>0</v>
      </c>
      <c r="M4">
        <v>62.3</v>
      </c>
      <c r="N4">
        <v>62.3</v>
      </c>
      <c r="O4">
        <v>0</v>
      </c>
      <c r="P4" s="5">
        <v>0</v>
      </c>
      <c r="Q4">
        <v>258151</v>
      </c>
      <c r="R4">
        <v>26</v>
      </c>
      <c r="S4">
        <v>0</v>
      </c>
      <c r="T4" t="s">
        <v>24</v>
      </c>
      <c r="U4" t="s">
        <v>25</v>
      </c>
      <c r="V4" t="s">
        <v>30</v>
      </c>
      <c r="W4">
        <v>71</v>
      </c>
    </row>
    <row r="5" spans="1:23" x14ac:dyDescent="0.2">
      <c r="A5" t="s">
        <v>39</v>
      </c>
      <c r="B5" t="s">
        <v>23</v>
      </c>
      <c r="C5">
        <v>25</v>
      </c>
      <c r="D5" s="5">
        <v>7.3000000000000001E-3</v>
      </c>
      <c r="E5">
        <v>0</v>
      </c>
      <c r="F5" s="5">
        <v>0</v>
      </c>
      <c r="G5">
        <v>31</v>
      </c>
      <c r="H5" s="5">
        <v>2.6700000000000002E-2</v>
      </c>
      <c r="I5">
        <v>0</v>
      </c>
      <c r="J5" s="5">
        <v>0</v>
      </c>
      <c r="K5">
        <v>1</v>
      </c>
      <c r="L5" s="5">
        <v>6.7999999999999996E-3</v>
      </c>
      <c r="M5">
        <v>65</v>
      </c>
      <c r="N5">
        <v>60</v>
      </c>
      <c r="O5">
        <v>5</v>
      </c>
      <c r="P5" s="5">
        <v>7.6999999999999999E-2</v>
      </c>
      <c r="Q5">
        <v>0</v>
      </c>
      <c r="R5">
        <v>57</v>
      </c>
      <c r="S5">
        <v>0</v>
      </c>
      <c r="T5" t="s">
        <v>24</v>
      </c>
      <c r="U5" t="s">
        <v>37</v>
      </c>
      <c r="V5" t="s">
        <v>26</v>
      </c>
      <c r="W5">
        <v>57</v>
      </c>
    </row>
    <row r="6" spans="1:23" x14ac:dyDescent="0.2">
      <c r="A6" t="s">
        <v>22</v>
      </c>
      <c r="B6" t="s">
        <v>27</v>
      </c>
      <c r="C6">
        <v>7784</v>
      </c>
      <c r="D6" s="5">
        <v>1.06E-2</v>
      </c>
      <c r="E6">
        <v>1231</v>
      </c>
      <c r="F6" s="5">
        <v>7.6300000000000007E-2</v>
      </c>
      <c r="G6">
        <v>387</v>
      </c>
      <c r="H6" s="5">
        <v>4.3E-3</v>
      </c>
      <c r="I6">
        <v>0</v>
      </c>
      <c r="J6" s="5">
        <v>0</v>
      </c>
      <c r="K6">
        <v>138</v>
      </c>
      <c r="L6" s="5">
        <v>1.6999999999999999E-3</v>
      </c>
      <c r="M6">
        <v>11193</v>
      </c>
      <c r="N6">
        <v>11193</v>
      </c>
      <c r="O6">
        <v>0</v>
      </c>
      <c r="P6" s="5">
        <v>0</v>
      </c>
      <c r="Q6">
        <v>168063</v>
      </c>
      <c r="R6">
        <v>9540</v>
      </c>
      <c r="S6">
        <v>3.18</v>
      </c>
      <c r="T6" t="s">
        <v>28</v>
      </c>
      <c r="U6" t="s">
        <v>29</v>
      </c>
      <c r="V6" t="s">
        <v>30</v>
      </c>
      <c r="W6">
        <v>57</v>
      </c>
    </row>
    <row r="7" spans="1:23" x14ac:dyDescent="0.2">
      <c r="A7" t="s">
        <v>31</v>
      </c>
      <c r="B7" t="s">
        <v>27</v>
      </c>
      <c r="C7">
        <v>27303</v>
      </c>
      <c r="D7" s="5">
        <v>4.2200000000000001E-2</v>
      </c>
      <c r="E7">
        <v>608</v>
      </c>
      <c r="F7" s="5">
        <v>2.93E-2</v>
      </c>
      <c r="G7">
        <v>747</v>
      </c>
      <c r="H7" s="5">
        <v>8.6999999999999994E-3</v>
      </c>
      <c r="I7">
        <v>26</v>
      </c>
      <c r="J7" s="5">
        <v>1.06E-2</v>
      </c>
      <c r="K7">
        <v>322</v>
      </c>
      <c r="L7" s="5">
        <v>4.4999999999999997E-3</v>
      </c>
      <c r="M7">
        <v>12551</v>
      </c>
      <c r="N7">
        <v>12032</v>
      </c>
      <c r="O7">
        <v>519</v>
      </c>
      <c r="P7" s="5">
        <v>4.1399999999999999E-2</v>
      </c>
      <c r="Q7">
        <v>197214</v>
      </c>
      <c r="R7">
        <v>29006</v>
      </c>
      <c r="S7">
        <v>0.81</v>
      </c>
      <c r="T7" t="s">
        <v>24</v>
      </c>
      <c r="U7" t="s">
        <v>29</v>
      </c>
      <c r="V7" t="s">
        <v>38</v>
      </c>
      <c r="W7">
        <v>68</v>
      </c>
    </row>
    <row r="8" spans="1:23" x14ac:dyDescent="0.2">
      <c r="A8" t="s">
        <v>34</v>
      </c>
      <c r="B8" t="s">
        <v>27</v>
      </c>
      <c r="C8">
        <v>28434</v>
      </c>
      <c r="D8" s="5">
        <v>4.24E-2</v>
      </c>
      <c r="E8">
        <v>1062</v>
      </c>
      <c r="F8" s="5">
        <v>7.2499999999999995E-2</v>
      </c>
      <c r="G8">
        <v>1623</v>
      </c>
      <c r="H8" s="5">
        <v>1.77E-2</v>
      </c>
      <c r="I8">
        <v>90</v>
      </c>
      <c r="J8" s="5">
        <v>7.0800000000000002E-2</v>
      </c>
      <c r="K8">
        <v>297</v>
      </c>
      <c r="L8" s="5">
        <v>5.8999999999999999E-3</v>
      </c>
      <c r="M8">
        <v>13167</v>
      </c>
      <c r="N8">
        <v>12293</v>
      </c>
      <c r="O8">
        <v>874</v>
      </c>
      <c r="P8" s="5">
        <v>6.6400000000000001E-2</v>
      </c>
      <c r="Q8">
        <v>219881</v>
      </c>
      <c r="R8">
        <v>31506</v>
      </c>
      <c r="S8">
        <v>0.65</v>
      </c>
      <c r="T8" t="s">
        <v>24</v>
      </c>
      <c r="U8" t="s">
        <v>25</v>
      </c>
      <c r="V8" t="s">
        <v>26</v>
      </c>
      <c r="W8">
        <v>72</v>
      </c>
    </row>
    <row r="9" spans="1:23" x14ac:dyDescent="0.2">
      <c r="A9" t="s">
        <v>39</v>
      </c>
      <c r="B9" t="s">
        <v>27</v>
      </c>
      <c r="C9">
        <v>33425</v>
      </c>
      <c r="D9" s="5">
        <v>0.10009999999999999</v>
      </c>
      <c r="E9">
        <v>3256</v>
      </c>
      <c r="F9" s="5">
        <v>0.1467</v>
      </c>
      <c r="G9">
        <v>3600</v>
      </c>
      <c r="H9" s="5">
        <v>8.1600000000000006E-2</v>
      </c>
      <c r="I9">
        <v>17</v>
      </c>
      <c r="J9" s="5">
        <v>1.2800000000000001E-2</v>
      </c>
      <c r="K9">
        <v>199</v>
      </c>
      <c r="L9" s="5">
        <v>5.4999999999999997E-3</v>
      </c>
      <c r="M9">
        <v>13237</v>
      </c>
      <c r="N9">
        <v>13237</v>
      </c>
      <c r="O9">
        <v>0</v>
      </c>
      <c r="P9" s="5">
        <v>0</v>
      </c>
      <c r="Q9">
        <v>242479</v>
      </c>
      <c r="R9">
        <v>40497</v>
      </c>
      <c r="S9">
        <v>0.9</v>
      </c>
      <c r="T9" t="s">
        <v>24</v>
      </c>
      <c r="U9" t="s">
        <v>25</v>
      </c>
      <c r="V9" t="s">
        <v>30</v>
      </c>
      <c r="W9">
        <v>76</v>
      </c>
    </row>
    <row r="10" spans="1:23" x14ac:dyDescent="0.2">
      <c r="A10" t="s">
        <v>22</v>
      </c>
      <c r="B10" t="s">
        <v>32</v>
      </c>
      <c r="C10">
        <v>2</v>
      </c>
      <c r="D10" s="5">
        <v>2.0000000000000001E-4</v>
      </c>
      <c r="E10">
        <v>0</v>
      </c>
      <c r="F10" s="5">
        <v>0</v>
      </c>
      <c r="G10">
        <v>0</v>
      </c>
      <c r="H10" s="5">
        <v>0</v>
      </c>
      <c r="I10">
        <v>0</v>
      </c>
      <c r="J10" s="5">
        <v>0</v>
      </c>
      <c r="K10">
        <v>0</v>
      </c>
      <c r="L10" s="5">
        <v>0</v>
      </c>
      <c r="M10">
        <v>158</v>
      </c>
      <c r="N10">
        <v>149</v>
      </c>
      <c r="O10">
        <v>9</v>
      </c>
      <c r="P10" s="5">
        <v>5.7000000000000002E-2</v>
      </c>
      <c r="Q10">
        <v>181537</v>
      </c>
      <c r="R10">
        <v>2</v>
      </c>
      <c r="T10" t="s">
        <v>33</v>
      </c>
      <c r="U10" t="s">
        <v>29</v>
      </c>
      <c r="V10" t="s">
        <v>26</v>
      </c>
      <c r="W10">
        <v>45</v>
      </c>
    </row>
    <row r="11" spans="1:23" x14ac:dyDescent="0.2">
      <c r="A11" t="s">
        <v>31</v>
      </c>
      <c r="B11" t="s">
        <v>32</v>
      </c>
      <c r="C11">
        <v>1</v>
      </c>
      <c r="D11" s="5">
        <v>1E-4</v>
      </c>
      <c r="E11">
        <v>0</v>
      </c>
      <c r="F11" s="5">
        <v>0</v>
      </c>
      <c r="G11">
        <v>1</v>
      </c>
      <c r="H11" s="5">
        <v>1E-4</v>
      </c>
      <c r="I11">
        <v>0</v>
      </c>
      <c r="J11" s="5">
        <v>0</v>
      </c>
      <c r="K11">
        <v>0</v>
      </c>
      <c r="L11" s="5">
        <v>0</v>
      </c>
      <c r="M11">
        <v>197</v>
      </c>
      <c r="N11">
        <v>168</v>
      </c>
      <c r="O11">
        <v>29</v>
      </c>
      <c r="P11" s="5">
        <v>0.1472</v>
      </c>
      <c r="Q11">
        <v>190851</v>
      </c>
      <c r="R11">
        <v>2</v>
      </c>
      <c r="S11">
        <v>0</v>
      </c>
      <c r="T11" t="s">
        <v>24</v>
      </c>
      <c r="U11" t="s">
        <v>29</v>
      </c>
      <c r="V11" t="s">
        <v>26</v>
      </c>
      <c r="W11">
        <v>43</v>
      </c>
    </row>
    <row r="12" spans="1:23" x14ac:dyDescent="0.2">
      <c r="A12" t="s">
        <v>34</v>
      </c>
      <c r="B12" t="s">
        <v>32</v>
      </c>
      <c r="C12">
        <v>3</v>
      </c>
      <c r="D12" s="5">
        <v>2.0000000000000001E-4</v>
      </c>
      <c r="E12">
        <v>0</v>
      </c>
      <c r="F12" s="5">
        <v>0</v>
      </c>
      <c r="G12">
        <v>18</v>
      </c>
      <c r="H12" s="5">
        <v>1.4E-3</v>
      </c>
      <c r="I12">
        <v>0</v>
      </c>
      <c r="J12" s="5">
        <v>0</v>
      </c>
      <c r="K12">
        <v>0</v>
      </c>
      <c r="L12" s="5">
        <v>0</v>
      </c>
      <c r="M12">
        <v>167</v>
      </c>
      <c r="N12">
        <v>167</v>
      </c>
      <c r="O12">
        <v>0</v>
      </c>
      <c r="P12" s="5">
        <v>0</v>
      </c>
      <c r="Q12">
        <v>199992</v>
      </c>
      <c r="R12">
        <v>21</v>
      </c>
      <c r="S12">
        <v>0</v>
      </c>
      <c r="T12" t="s">
        <v>24</v>
      </c>
      <c r="U12" t="s">
        <v>29</v>
      </c>
      <c r="V12" t="s">
        <v>30</v>
      </c>
      <c r="W12">
        <v>52</v>
      </c>
    </row>
    <row r="13" spans="1:23" x14ac:dyDescent="0.2">
      <c r="A13" t="s">
        <v>39</v>
      </c>
      <c r="B13" t="s">
        <v>32</v>
      </c>
      <c r="C13">
        <v>33</v>
      </c>
      <c r="D13" s="5">
        <v>4.7000000000000002E-3</v>
      </c>
      <c r="E13">
        <v>1</v>
      </c>
      <c r="F13" s="5">
        <v>2.0400000000000001E-2</v>
      </c>
      <c r="G13">
        <v>31</v>
      </c>
      <c r="H13" s="5">
        <v>3.7000000000000002E-3</v>
      </c>
      <c r="I13">
        <v>0</v>
      </c>
      <c r="J13" s="5">
        <v>0</v>
      </c>
      <c r="K13">
        <v>1</v>
      </c>
      <c r="L13" s="5">
        <v>5.0000000000000001E-4</v>
      </c>
      <c r="M13">
        <v>186</v>
      </c>
      <c r="N13">
        <v>186</v>
      </c>
      <c r="O13">
        <v>0</v>
      </c>
      <c r="P13" s="5">
        <v>2E-3</v>
      </c>
      <c r="Q13">
        <v>0</v>
      </c>
      <c r="R13">
        <v>66</v>
      </c>
      <c r="S13">
        <v>0.03</v>
      </c>
      <c r="T13" t="s">
        <v>24</v>
      </c>
      <c r="U13" t="s">
        <v>37</v>
      </c>
      <c r="V13" t="s">
        <v>38</v>
      </c>
      <c r="W13">
        <v>44</v>
      </c>
    </row>
    <row r="14" spans="1:23" x14ac:dyDescent="0.2">
      <c r="A14" t="s">
        <v>22</v>
      </c>
      <c r="B14" t="s">
        <v>35</v>
      </c>
      <c r="C14">
        <v>378</v>
      </c>
      <c r="D14" s="5">
        <v>1.1000000000000001E-3</v>
      </c>
      <c r="E14">
        <v>15247</v>
      </c>
      <c r="F14" s="5">
        <v>0.72</v>
      </c>
      <c r="G14">
        <v>7</v>
      </c>
      <c r="H14" s="5">
        <v>1E-4</v>
      </c>
      <c r="I14">
        <v>0</v>
      </c>
      <c r="J14" s="5">
        <v>0</v>
      </c>
      <c r="K14">
        <v>1</v>
      </c>
      <c r="L14" s="5">
        <v>0</v>
      </c>
      <c r="M14">
        <v>2072</v>
      </c>
      <c r="N14">
        <v>1987</v>
      </c>
      <c r="O14">
        <v>85</v>
      </c>
      <c r="P14" s="5">
        <v>4.1000000000000002E-2</v>
      </c>
      <c r="Q14">
        <v>86947</v>
      </c>
      <c r="R14">
        <v>15633</v>
      </c>
      <c r="S14">
        <v>100</v>
      </c>
      <c r="T14" t="s">
        <v>36</v>
      </c>
      <c r="U14" t="s">
        <v>37</v>
      </c>
      <c r="V14" t="s">
        <v>38</v>
      </c>
      <c r="W14">
        <v>40</v>
      </c>
    </row>
    <row r="15" spans="1:23" x14ac:dyDescent="0.2">
      <c r="A15" t="s">
        <v>31</v>
      </c>
      <c r="B15" t="s">
        <v>35</v>
      </c>
      <c r="C15">
        <v>1902</v>
      </c>
      <c r="D15" s="5">
        <v>5.4000000000000003E-3</v>
      </c>
      <c r="E15">
        <v>38729</v>
      </c>
      <c r="F15" s="5">
        <v>0.83730000000000004</v>
      </c>
      <c r="G15">
        <v>82</v>
      </c>
      <c r="H15" s="5">
        <v>1E-3</v>
      </c>
      <c r="I15">
        <v>0</v>
      </c>
      <c r="J15" s="5">
        <v>0</v>
      </c>
      <c r="K15">
        <v>7</v>
      </c>
      <c r="L15" s="5">
        <v>2.0000000000000001E-4</v>
      </c>
      <c r="M15">
        <v>2126</v>
      </c>
      <c r="N15">
        <v>2121</v>
      </c>
      <c r="O15">
        <v>5</v>
      </c>
      <c r="P15" s="5">
        <v>2.3999999999999998E-3</v>
      </c>
      <c r="Q15">
        <v>103371</v>
      </c>
      <c r="R15">
        <v>40720</v>
      </c>
      <c r="S15">
        <v>100</v>
      </c>
      <c r="T15" t="s">
        <v>36</v>
      </c>
      <c r="U15" t="s">
        <v>29</v>
      </c>
      <c r="V15" t="s">
        <v>38</v>
      </c>
      <c r="W15">
        <v>44</v>
      </c>
    </row>
    <row r="16" spans="1:23" x14ac:dyDescent="0.2">
      <c r="A16" t="s">
        <v>34</v>
      </c>
      <c r="B16" t="s">
        <v>35</v>
      </c>
      <c r="C16">
        <v>2455</v>
      </c>
      <c r="D16" s="5">
        <v>5.4000000000000003E-3</v>
      </c>
      <c r="E16">
        <v>57900</v>
      </c>
      <c r="F16" s="5">
        <v>0.82289999999999996</v>
      </c>
      <c r="G16">
        <v>269</v>
      </c>
      <c r="H16" s="5">
        <v>2.8999999999999998E-3</v>
      </c>
      <c r="I16">
        <v>158</v>
      </c>
      <c r="J16" s="5">
        <v>0.12620000000000001</v>
      </c>
      <c r="K16">
        <v>16</v>
      </c>
      <c r="L16" s="5">
        <v>4.0000000000000002E-4</v>
      </c>
      <c r="M16">
        <v>2379</v>
      </c>
      <c r="N16">
        <v>2376</v>
      </c>
      <c r="O16">
        <v>3</v>
      </c>
      <c r="P16" s="5">
        <v>1.1999999999999999E-3</v>
      </c>
      <c r="Q16">
        <v>119308</v>
      </c>
      <c r="R16">
        <v>60798</v>
      </c>
      <c r="S16">
        <v>100</v>
      </c>
      <c r="T16" t="s">
        <v>36</v>
      </c>
      <c r="U16" t="s">
        <v>29</v>
      </c>
      <c r="V16" t="s">
        <v>38</v>
      </c>
      <c r="W16">
        <v>50</v>
      </c>
    </row>
    <row r="17" spans="1:23" x14ac:dyDescent="0.2">
      <c r="A17" t="s">
        <v>39</v>
      </c>
      <c r="B17" t="s">
        <v>35</v>
      </c>
      <c r="C17">
        <v>2064</v>
      </c>
      <c r="D17" s="5">
        <v>1.0999999999999999E-2</v>
      </c>
      <c r="E17">
        <v>41335</v>
      </c>
      <c r="F17" s="5">
        <v>0.96220000000000006</v>
      </c>
      <c r="G17">
        <v>254</v>
      </c>
      <c r="H17" s="5">
        <v>7.4999999999999997E-3</v>
      </c>
      <c r="I17">
        <v>45</v>
      </c>
      <c r="J17" s="5">
        <v>6.6100000000000006E-2</v>
      </c>
      <c r="K17">
        <v>30</v>
      </c>
      <c r="L17" s="5">
        <v>2.5999999999999999E-3</v>
      </c>
      <c r="M17">
        <v>2413</v>
      </c>
      <c r="N17">
        <v>2413</v>
      </c>
      <c r="O17">
        <v>0</v>
      </c>
      <c r="P17" s="5">
        <v>0</v>
      </c>
      <c r="Q17">
        <v>135787</v>
      </c>
      <c r="R17">
        <v>43728</v>
      </c>
      <c r="S17">
        <v>100</v>
      </c>
      <c r="T17" t="s">
        <v>36</v>
      </c>
      <c r="U17" t="s">
        <v>29</v>
      </c>
      <c r="V17" t="s">
        <v>30</v>
      </c>
      <c r="W17">
        <v>63</v>
      </c>
    </row>
    <row r="18" spans="1:23" x14ac:dyDescent="0.2">
      <c r="A18" t="s">
        <v>22</v>
      </c>
      <c r="B18" t="s">
        <v>40</v>
      </c>
      <c r="C18">
        <v>2788</v>
      </c>
      <c r="D18" s="5">
        <v>3.3E-3</v>
      </c>
      <c r="E18">
        <v>20206</v>
      </c>
      <c r="F18" s="5">
        <v>0.44640000000000002</v>
      </c>
      <c r="G18">
        <v>61</v>
      </c>
      <c r="H18" s="5">
        <v>8.9999999999999998E-4</v>
      </c>
      <c r="I18">
        <v>26</v>
      </c>
      <c r="J18" s="5">
        <v>2.4E-2</v>
      </c>
      <c r="K18">
        <v>1</v>
      </c>
      <c r="L18" s="5">
        <v>0</v>
      </c>
      <c r="M18">
        <v>5995</v>
      </c>
      <c r="N18">
        <v>5938</v>
      </c>
      <c r="O18">
        <v>58</v>
      </c>
      <c r="P18" s="5">
        <v>9.7000000000000003E-3</v>
      </c>
      <c r="Q18">
        <v>42128</v>
      </c>
      <c r="R18">
        <v>23082</v>
      </c>
      <c r="S18">
        <v>100</v>
      </c>
      <c r="T18" t="s">
        <v>36</v>
      </c>
      <c r="U18" t="s">
        <v>37</v>
      </c>
      <c r="V18" t="s">
        <v>38</v>
      </c>
      <c r="W18">
        <v>40</v>
      </c>
    </row>
    <row r="19" spans="1:23" x14ac:dyDescent="0.2">
      <c r="A19" t="s">
        <v>31</v>
      </c>
      <c r="B19" t="s">
        <v>40</v>
      </c>
      <c r="C19">
        <v>9936</v>
      </c>
      <c r="D19" s="5">
        <v>1.09E-2</v>
      </c>
      <c r="E19">
        <v>45666</v>
      </c>
      <c r="F19" s="5">
        <v>0.63229999999999997</v>
      </c>
      <c r="G19">
        <v>135</v>
      </c>
      <c r="H19" s="5">
        <v>1.9E-3</v>
      </c>
      <c r="I19">
        <v>1</v>
      </c>
      <c r="J19" s="5">
        <v>8.0000000000000004E-4</v>
      </c>
      <c r="K19">
        <v>14</v>
      </c>
      <c r="L19" s="5">
        <v>2.0000000000000001E-4</v>
      </c>
      <c r="M19">
        <v>7154</v>
      </c>
      <c r="N19">
        <v>6490</v>
      </c>
      <c r="O19">
        <v>664</v>
      </c>
      <c r="P19" s="5">
        <v>9.2799999999999994E-2</v>
      </c>
      <c r="Q19">
        <v>47296</v>
      </c>
      <c r="R19">
        <v>55752</v>
      </c>
      <c r="S19">
        <v>100</v>
      </c>
      <c r="T19" t="s">
        <v>36</v>
      </c>
      <c r="U19" t="s">
        <v>37</v>
      </c>
      <c r="V19" t="s">
        <v>26</v>
      </c>
      <c r="W19">
        <v>40</v>
      </c>
    </row>
    <row r="20" spans="1:23" x14ac:dyDescent="0.2">
      <c r="A20" t="s">
        <v>34</v>
      </c>
      <c r="B20" t="s">
        <v>40</v>
      </c>
      <c r="C20">
        <v>12393</v>
      </c>
      <c r="D20" s="5">
        <v>1.2E-2</v>
      </c>
      <c r="E20">
        <v>75191</v>
      </c>
      <c r="F20" s="5">
        <v>0.69550000000000001</v>
      </c>
      <c r="G20">
        <v>587</v>
      </c>
      <c r="H20" s="5">
        <v>8.0000000000000002E-3</v>
      </c>
      <c r="I20">
        <v>0</v>
      </c>
      <c r="J20" s="5">
        <v>0</v>
      </c>
      <c r="K20">
        <v>15</v>
      </c>
      <c r="L20" s="5">
        <v>2.0000000000000001E-4</v>
      </c>
      <c r="M20">
        <v>7852</v>
      </c>
      <c r="N20">
        <v>6631</v>
      </c>
      <c r="O20">
        <v>1221</v>
      </c>
      <c r="P20" s="5">
        <v>0.1555</v>
      </c>
      <c r="Q20">
        <v>53478</v>
      </c>
      <c r="R20">
        <v>88186</v>
      </c>
      <c r="S20">
        <v>100</v>
      </c>
      <c r="T20" t="s">
        <v>36</v>
      </c>
      <c r="U20" t="s">
        <v>37</v>
      </c>
      <c r="V20" t="s">
        <v>26</v>
      </c>
      <c r="W20">
        <v>53</v>
      </c>
    </row>
    <row r="21" spans="1:23" x14ac:dyDescent="0.2">
      <c r="A21" t="s">
        <v>39</v>
      </c>
      <c r="B21" t="s">
        <v>40</v>
      </c>
      <c r="C21">
        <v>15322</v>
      </c>
      <c r="D21" s="5">
        <v>2.7300000000000001E-2</v>
      </c>
      <c r="E21">
        <v>40442</v>
      </c>
      <c r="F21" s="5">
        <v>0.80489999999999995</v>
      </c>
      <c r="G21">
        <v>649</v>
      </c>
      <c r="H21" s="5">
        <v>1.41E-2</v>
      </c>
      <c r="I21">
        <v>0</v>
      </c>
      <c r="J21" s="5">
        <v>0</v>
      </c>
      <c r="K21">
        <v>113</v>
      </c>
      <c r="L21" s="5">
        <v>3.2000000000000002E-3</v>
      </c>
      <c r="M21">
        <v>8049</v>
      </c>
      <c r="N21">
        <v>7420</v>
      </c>
      <c r="O21">
        <v>629</v>
      </c>
      <c r="P21" s="5">
        <v>7.8E-2</v>
      </c>
      <c r="Q21">
        <v>60337</v>
      </c>
      <c r="R21">
        <v>56526</v>
      </c>
      <c r="S21">
        <v>62.31</v>
      </c>
      <c r="T21" t="s">
        <v>36</v>
      </c>
      <c r="U21" t="s">
        <v>37</v>
      </c>
      <c r="V21" t="s">
        <v>26</v>
      </c>
      <c r="W21">
        <v>61</v>
      </c>
    </row>
    <row r="22" spans="1:23" x14ac:dyDescent="0.2">
      <c r="A22" t="s">
        <v>22</v>
      </c>
      <c r="B22" t="s">
        <v>41</v>
      </c>
      <c r="C22">
        <v>197</v>
      </c>
      <c r="D22" s="5">
        <v>1.2E-2</v>
      </c>
      <c r="E22">
        <v>386</v>
      </c>
      <c r="F22" s="5">
        <v>0.64229999999999998</v>
      </c>
      <c r="G22">
        <v>111</v>
      </c>
      <c r="H22" s="5">
        <v>5.4999999999999997E-3</v>
      </c>
      <c r="I22">
        <v>40</v>
      </c>
      <c r="J22" s="5">
        <v>0.66669999999999996</v>
      </c>
      <c r="K22">
        <v>0</v>
      </c>
      <c r="L22" s="5">
        <v>0</v>
      </c>
      <c r="M22">
        <v>383</v>
      </c>
      <c r="N22">
        <v>383</v>
      </c>
      <c r="O22">
        <v>0</v>
      </c>
      <c r="P22" s="5">
        <v>0</v>
      </c>
      <c r="Q22">
        <v>290417</v>
      </c>
      <c r="R22">
        <v>734</v>
      </c>
      <c r="S22">
        <v>3.48</v>
      </c>
      <c r="T22" t="s">
        <v>28</v>
      </c>
      <c r="U22" t="s">
        <v>25</v>
      </c>
      <c r="V22" t="s">
        <v>30</v>
      </c>
      <c r="W22">
        <v>68</v>
      </c>
    </row>
    <row r="23" spans="1:23" x14ac:dyDescent="0.2">
      <c r="A23" t="s">
        <v>31</v>
      </c>
      <c r="B23" t="s">
        <v>41</v>
      </c>
      <c r="C23">
        <v>857</v>
      </c>
      <c r="D23" s="5">
        <v>3.8899999999999997E-2</v>
      </c>
      <c r="E23">
        <v>1550</v>
      </c>
      <c r="F23" s="5">
        <v>0.87819999999999998</v>
      </c>
      <c r="G23">
        <v>272</v>
      </c>
      <c r="H23" s="5">
        <v>1.0500000000000001E-2</v>
      </c>
      <c r="I23">
        <v>40</v>
      </c>
      <c r="J23" s="5">
        <v>0.23810000000000001</v>
      </c>
      <c r="K23">
        <v>0</v>
      </c>
      <c r="L23" s="5">
        <v>0</v>
      </c>
      <c r="M23">
        <v>426</v>
      </c>
      <c r="N23">
        <v>426</v>
      </c>
      <c r="O23">
        <v>0</v>
      </c>
      <c r="P23" s="5">
        <v>0</v>
      </c>
      <c r="Q23">
        <v>337406</v>
      </c>
      <c r="R23">
        <v>2719</v>
      </c>
      <c r="S23">
        <v>5.7</v>
      </c>
      <c r="T23" t="s">
        <v>36</v>
      </c>
      <c r="U23" t="s">
        <v>25</v>
      </c>
      <c r="V23" t="s">
        <v>30</v>
      </c>
      <c r="W23">
        <v>82</v>
      </c>
    </row>
    <row r="24" spans="1:23" x14ac:dyDescent="0.2">
      <c r="A24" t="s">
        <v>34</v>
      </c>
      <c r="B24" t="s">
        <v>41</v>
      </c>
      <c r="C24">
        <v>2148</v>
      </c>
      <c r="D24" s="5">
        <v>9.9000000000000005E-2</v>
      </c>
      <c r="E24">
        <v>3202</v>
      </c>
      <c r="F24" s="5">
        <v>0.95979999999999999</v>
      </c>
      <c r="G24">
        <v>956</v>
      </c>
      <c r="H24" s="5">
        <v>3.7400000000000003E-2</v>
      </c>
      <c r="I24">
        <v>0</v>
      </c>
      <c r="J24" s="5">
        <v>0</v>
      </c>
      <c r="K24">
        <v>27</v>
      </c>
      <c r="L24" s="5">
        <v>2.5499999999999998E-2</v>
      </c>
      <c r="M24">
        <v>407</v>
      </c>
      <c r="N24">
        <v>407</v>
      </c>
      <c r="O24">
        <v>0</v>
      </c>
      <c r="P24" s="5">
        <v>0</v>
      </c>
      <c r="Q24">
        <v>399654</v>
      </c>
      <c r="R24">
        <v>6333</v>
      </c>
      <c r="S24">
        <v>3.35</v>
      </c>
      <c r="T24" t="s">
        <v>28</v>
      </c>
      <c r="U24" t="s">
        <v>25</v>
      </c>
      <c r="V24" t="s">
        <v>30</v>
      </c>
      <c r="W24">
        <v>87</v>
      </c>
    </row>
    <row r="25" spans="1:23" x14ac:dyDescent="0.2">
      <c r="A25" t="s">
        <v>39</v>
      </c>
      <c r="B25" t="s">
        <v>41</v>
      </c>
      <c r="C25">
        <v>679</v>
      </c>
      <c r="D25" s="5">
        <v>6.1899999999999997E-2</v>
      </c>
      <c r="E25">
        <v>668</v>
      </c>
      <c r="F25" s="5">
        <v>0.86529999999999996</v>
      </c>
      <c r="G25">
        <v>1044</v>
      </c>
      <c r="H25" s="5">
        <v>0.1205</v>
      </c>
      <c r="I25">
        <v>45</v>
      </c>
      <c r="J25" s="5">
        <v>0.1573</v>
      </c>
      <c r="K25">
        <v>18</v>
      </c>
      <c r="L25" s="5">
        <v>3.5900000000000001E-2</v>
      </c>
      <c r="M25">
        <v>411</v>
      </c>
      <c r="N25">
        <v>411</v>
      </c>
      <c r="O25">
        <v>0</v>
      </c>
      <c r="P25" s="5">
        <v>0</v>
      </c>
      <c r="Q25">
        <v>0</v>
      </c>
      <c r="R25">
        <v>2454</v>
      </c>
      <c r="S25">
        <v>0.64</v>
      </c>
      <c r="T25" t="s">
        <v>24</v>
      </c>
      <c r="U25" t="s">
        <v>37</v>
      </c>
      <c r="V25" t="s">
        <v>30</v>
      </c>
      <c r="W25">
        <v>60</v>
      </c>
    </row>
    <row r="26" spans="1:23" x14ac:dyDescent="0.2">
      <c r="A26" t="s">
        <v>22</v>
      </c>
      <c r="B26" t="s">
        <v>42</v>
      </c>
      <c r="C26">
        <v>2630</v>
      </c>
      <c r="D26" s="5">
        <v>7.4000000000000003E-3</v>
      </c>
      <c r="E26">
        <v>1514</v>
      </c>
      <c r="F26" s="5">
        <v>0.53159999999999996</v>
      </c>
      <c r="G26">
        <v>70</v>
      </c>
      <c r="H26" s="5">
        <v>1.4E-3</v>
      </c>
      <c r="I26">
        <v>0</v>
      </c>
      <c r="J26" s="5">
        <v>0</v>
      </c>
      <c r="K26">
        <v>0</v>
      </c>
      <c r="L26" s="5">
        <v>0</v>
      </c>
      <c r="M26">
        <v>4682</v>
      </c>
      <c r="N26">
        <v>4682</v>
      </c>
      <c r="O26">
        <v>0</v>
      </c>
      <c r="P26" s="5">
        <v>0</v>
      </c>
      <c r="Q26">
        <v>106117</v>
      </c>
      <c r="R26">
        <v>4214</v>
      </c>
      <c r="S26">
        <v>21.63</v>
      </c>
      <c r="T26" t="s">
        <v>36</v>
      </c>
      <c r="U26" t="s">
        <v>29</v>
      </c>
      <c r="V26" t="s">
        <v>30</v>
      </c>
      <c r="W26">
        <v>46</v>
      </c>
    </row>
    <row r="27" spans="1:23" x14ac:dyDescent="0.2">
      <c r="A27" t="s">
        <v>31</v>
      </c>
      <c r="B27" t="s">
        <v>42</v>
      </c>
      <c r="C27">
        <v>16396</v>
      </c>
      <c r="D27" s="5">
        <v>4.3200000000000002E-2</v>
      </c>
      <c r="E27">
        <v>5602</v>
      </c>
      <c r="F27" s="5">
        <v>0.81879999999999997</v>
      </c>
      <c r="G27">
        <v>364</v>
      </c>
      <c r="H27" s="5">
        <v>6.7999999999999996E-3</v>
      </c>
      <c r="I27">
        <v>0</v>
      </c>
      <c r="J27" s="5">
        <v>0</v>
      </c>
      <c r="K27">
        <v>1</v>
      </c>
      <c r="L27" s="5">
        <v>0</v>
      </c>
      <c r="M27">
        <v>5019</v>
      </c>
      <c r="N27">
        <v>5014</v>
      </c>
      <c r="O27">
        <v>5</v>
      </c>
      <c r="P27" s="5">
        <v>1E-3</v>
      </c>
      <c r="Q27">
        <v>122934</v>
      </c>
      <c r="R27">
        <v>22363</v>
      </c>
      <c r="S27">
        <v>15.39</v>
      </c>
      <c r="T27" t="s">
        <v>36</v>
      </c>
      <c r="U27" t="s">
        <v>29</v>
      </c>
      <c r="V27" t="s">
        <v>38</v>
      </c>
      <c r="W27">
        <v>60</v>
      </c>
    </row>
    <row r="28" spans="1:23" x14ac:dyDescent="0.2">
      <c r="A28" t="s">
        <v>34</v>
      </c>
      <c r="B28" t="s">
        <v>42</v>
      </c>
      <c r="C28">
        <v>25093</v>
      </c>
      <c r="D28" s="5">
        <v>5.96E-2</v>
      </c>
      <c r="E28">
        <v>11351</v>
      </c>
      <c r="F28" s="5">
        <v>0.89029999999999998</v>
      </c>
      <c r="G28">
        <v>1171</v>
      </c>
      <c r="H28" s="5">
        <v>2.2200000000000001E-2</v>
      </c>
      <c r="I28">
        <v>0</v>
      </c>
      <c r="J28" s="5">
        <v>0</v>
      </c>
      <c r="K28">
        <v>23</v>
      </c>
      <c r="L28" s="5">
        <v>2.9999999999999997E-4</v>
      </c>
      <c r="M28">
        <v>5399</v>
      </c>
      <c r="N28">
        <v>5399</v>
      </c>
      <c r="O28">
        <v>0</v>
      </c>
      <c r="P28" s="5">
        <v>0</v>
      </c>
      <c r="Q28">
        <v>137329</v>
      </c>
      <c r="R28">
        <v>37638</v>
      </c>
      <c r="S28">
        <v>9.69</v>
      </c>
      <c r="T28" t="s">
        <v>36</v>
      </c>
      <c r="U28" t="s">
        <v>29</v>
      </c>
      <c r="V28" t="s">
        <v>30</v>
      </c>
      <c r="W28">
        <v>69</v>
      </c>
    </row>
    <row r="29" spans="1:23" x14ac:dyDescent="0.2">
      <c r="A29" t="s">
        <v>39</v>
      </c>
      <c r="B29" t="s">
        <v>42</v>
      </c>
      <c r="C29">
        <v>15941</v>
      </c>
      <c r="D29" s="5">
        <v>7.1999999999999995E-2</v>
      </c>
      <c r="E29">
        <v>5999</v>
      </c>
      <c r="F29" s="5">
        <v>0.88070000000000004</v>
      </c>
      <c r="G29">
        <v>1159</v>
      </c>
      <c r="H29" s="5">
        <v>3.5299999999999998E-2</v>
      </c>
      <c r="I29">
        <v>0</v>
      </c>
      <c r="J29" s="5">
        <v>0</v>
      </c>
      <c r="K29">
        <v>168</v>
      </c>
      <c r="L29" s="5">
        <v>4.4999999999999997E-3</v>
      </c>
      <c r="M29">
        <v>6148</v>
      </c>
      <c r="N29">
        <v>6148</v>
      </c>
      <c r="O29">
        <v>0</v>
      </c>
      <c r="P29" s="5">
        <v>0</v>
      </c>
      <c r="Q29">
        <v>147361</v>
      </c>
      <c r="R29">
        <v>23267</v>
      </c>
      <c r="S29">
        <v>5.18</v>
      </c>
      <c r="T29" t="s">
        <v>36</v>
      </c>
      <c r="U29" t="s">
        <v>29</v>
      </c>
      <c r="V29" t="s">
        <v>30</v>
      </c>
      <c r="W29">
        <v>70</v>
      </c>
    </row>
    <row r="30" spans="1:23" x14ac:dyDescent="0.2">
      <c r="A30" t="s">
        <v>22</v>
      </c>
      <c r="B30" t="s">
        <v>43</v>
      </c>
      <c r="C30">
        <v>7558</v>
      </c>
      <c r="D30" s="5">
        <v>2.7400000000000001E-2</v>
      </c>
      <c r="E30">
        <v>16248</v>
      </c>
      <c r="F30" s="5">
        <v>0.71150000000000002</v>
      </c>
      <c r="G30">
        <v>1959</v>
      </c>
      <c r="H30" s="5">
        <v>1.3899999999999999E-2</v>
      </c>
      <c r="I30">
        <v>31</v>
      </c>
      <c r="J30" s="5">
        <v>0.10199999999999999</v>
      </c>
      <c r="K30">
        <v>19</v>
      </c>
      <c r="L30" s="5">
        <v>1E-3</v>
      </c>
      <c r="M30">
        <v>6314</v>
      </c>
      <c r="N30">
        <v>6314</v>
      </c>
      <c r="O30">
        <v>0</v>
      </c>
      <c r="P30" s="5">
        <v>0</v>
      </c>
      <c r="Q30">
        <v>322311</v>
      </c>
      <c r="R30">
        <v>25815</v>
      </c>
      <c r="S30">
        <v>8.2899999999999991</v>
      </c>
      <c r="T30" t="s">
        <v>36</v>
      </c>
      <c r="U30" t="s">
        <v>25</v>
      </c>
      <c r="V30" t="s">
        <v>30</v>
      </c>
      <c r="W30">
        <v>81</v>
      </c>
    </row>
    <row r="31" spans="1:23" x14ac:dyDescent="0.2">
      <c r="A31" t="s">
        <v>31</v>
      </c>
      <c r="B31" t="s">
        <v>43</v>
      </c>
      <c r="C31">
        <v>34596</v>
      </c>
      <c r="D31" s="5">
        <v>9.35E-2</v>
      </c>
      <c r="E31">
        <v>21623</v>
      </c>
      <c r="F31" s="5">
        <v>0.73580000000000001</v>
      </c>
      <c r="G31">
        <v>5642</v>
      </c>
      <c r="H31" s="5">
        <v>3.1E-2</v>
      </c>
      <c r="I31">
        <v>399</v>
      </c>
      <c r="J31" s="5">
        <v>0.34610000000000002</v>
      </c>
      <c r="K31">
        <v>5</v>
      </c>
      <c r="L31" s="5">
        <v>2.0000000000000001E-4</v>
      </c>
      <c r="M31">
        <v>7323</v>
      </c>
      <c r="N31">
        <v>7323</v>
      </c>
      <c r="O31">
        <v>0</v>
      </c>
      <c r="P31" s="5">
        <v>0</v>
      </c>
      <c r="Q31">
        <v>376217</v>
      </c>
      <c r="R31">
        <v>62265</v>
      </c>
      <c r="S31">
        <v>3.83</v>
      </c>
      <c r="T31" t="s">
        <v>28</v>
      </c>
      <c r="U31" t="s">
        <v>25</v>
      </c>
      <c r="V31" t="s">
        <v>30</v>
      </c>
      <c r="W31">
        <v>85</v>
      </c>
    </row>
    <row r="32" spans="1:23" x14ac:dyDescent="0.2">
      <c r="A32" t="s">
        <v>34</v>
      </c>
      <c r="B32" t="s">
        <v>43</v>
      </c>
      <c r="C32">
        <v>37522</v>
      </c>
      <c r="D32" s="5">
        <v>9.3700000000000006E-2</v>
      </c>
      <c r="E32">
        <v>26344</v>
      </c>
      <c r="F32" s="5">
        <v>0.78439999999999999</v>
      </c>
      <c r="G32">
        <v>8177</v>
      </c>
      <c r="H32" s="5">
        <v>4.1500000000000002E-2</v>
      </c>
      <c r="I32">
        <v>1121</v>
      </c>
      <c r="J32" s="5">
        <v>0.57550000000000001</v>
      </c>
      <c r="K32">
        <v>323</v>
      </c>
      <c r="L32" s="5">
        <v>1.5900000000000001E-2</v>
      </c>
      <c r="M32">
        <v>7695</v>
      </c>
      <c r="N32">
        <v>7695</v>
      </c>
      <c r="O32">
        <v>0</v>
      </c>
      <c r="P32" s="5">
        <v>0</v>
      </c>
      <c r="Q32">
        <v>430120</v>
      </c>
      <c r="R32">
        <v>73487</v>
      </c>
      <c r="S32">
        <v>3.22</v>
      </c>
      <c r="T32" t="s">
        <v>28</v>
      </c>
      <c r="U32" t="s">
        <v>25</v>
      </c>
      <c r="V32" t="s">
        <v>30</v>
      </c>
      <c r="W32">
        <v>89</v>
      </c>
    </row>
    <row r="33" spans="1:23" x14ac:dyDescent="0.2">
      <c r="A33" t="s">
        <v>39</v>
      </c>
      <c r="B33" t="s">
        <v>43</v>
      </c>
      <c r="C33">
        <v>20194</v>
      </c>
      <c r="D33" s="5">
        <v>8.5900000000000004E-2</v>
      </c>
      <c r="E33">
        <v>6698</v>
      </c>
      <c r="F33" s="5">
        <v>0.65529999999999999</v>
      </c>
      <c r="G33">
        <v>10525</v>
      </c>
      <c r="H33" s="5">
        <v>0.1091</v>
      </c>
      <c r="I33">
        <v>858</v>
      </c>
      <c r="J33" s="5">
        <v>0.66979999999999995</v>
      </c>
      <c r="K33">
        <v>690</v>
      </c>
      <c r="L33" s="5">
        <v>6.8900000000000003E-2</v>
      </c>
      <c r="M33">
        <v>7437</v>
      </c>
      <c r="N33">
        <v>7437</v>
      </c>
      <c r="O33">
        <v>0</v>
      </c>
      <c r="P33" s="5">
        <v>0</v>
      </c>
      <c r="Q33">
        <v>461910</v>
      </c>
      <c r="R33">
        <v>38965</v>
      </c>
      <c r="S33">
        <v>0.64</v>
      </c>
      <c r="T33" t="s">
        <v>24</v>
      </c>
      <c r="U33" t="s">
        <v>25</v>
      </c>
      <c r="V33" t="s">
        <v>30</v>
      </c>
      <c r="W33">
        <v>91</v>
      </c>
    </row>
    <row r="34" spans="1:23" x14ac:dyDescent="0.2">
      <c r="A34" t="s">
        <v>22</v>
      </c>
      <c r="B34" t="s">
        <v>44</v>
      </c>
      <c r="C34">
        <v>847</v>
      </c>
      <c r="D34" s="5">
        <v>2.4500000000000001E-2</v>
      </c>
      <c r="E34">
        <v>14</v>
      </c>
      <c r="F34" s="5">
        <v>0.26419999999999999</v>
      </c>
      <c r="G34">
        <v>189</v>
      </c>
      <c r="H34" s="5">
        <v>1.34E-2</v>
      </c>
      <c r="I34">
        <v>35</v>
      </c>
      <c r="J34" s="5">
        <v>0.34649999999999997</v>
      </c>
      <c r="K34">
        <v>10</v>
      </c>
      <c r="L34" s="5">
        <v>4.5999999999999999E-3</v>
      </c>
      <c r="M34">
        <v>612</v>
      </c>
      <c r="N34">
        <v>612</v>
      </c>
      <c r="O34">
        <v>0</v>
      </c>
      <c r="P34" s="5">
        <v>0</v>
      </c>
      <c r="Q34">
        <v>423047</v>
      </c>
      <c r="R34">
        <v>1095</v>
      </c>
      <c r="S34">
        <v>7.0000000000000007E-2</v>
      </c>
      <c r="T34" t="s">
        <v>24</v>
      </c>
      <c r="U34" t="s">
        <v>25</v>
      </c>
      <c r="V34" t="s">
        <v>30</v>
      </c>
      <c r="W34">
        <v>88</v>
      </c>
    </row>
    <row r="35" spans="1:23" x14ac:dyDescent="0.2">
      <c r="A35" t="s">
        <v>31</v>
      </c>
      <c r="B35" t="s">
        <v>44</v>
      </c>
      <c r="C35">
        <v>4992</v>
      </c>
      <c r="D35" s="5">
        <v>0.1024</v>
      </c>
      <c r="E35">
        <v>38</v>
      </c>
      <c r="F35" s="5">
        <v>0.39179999999999998</v>
      </c>
      <c r="G35">
        <v>624</v>
      </c>
      <c r="H35" s="5">
        <v>3.2399999999999998E-2</v>
      </c>
      <c r="I35">
        <v>17</v>
      </c>
      <c r="J35" s="5">
        <v>0.1328</v>
      </c>
      <c r="K35">
        <v>15</v>
      </c>
      <c r="L35" s="5">
        <v>5.7999999999999996E-3</v>
      </c>
      <c r="M35">
        <v>703</v>
      </c>
      <c r="N35">
        <v>701</v>
      </c>
      <c r="O35">
        <v>2</v>
      </c>
      <c r="P35" s="5">
        <v>2.8E-3</v>
      </c>
      <c r="Q35">
        <v>459094</v>
      </c>
      <c r="R35">
        <v>5686</v>
      </c>
      <c r="S35">
        <v>0.06</v>
      </c>
      <c r="T35" t="s">
        <v>24</v>
      </c>
      <c r="U35" t="s">
        <v>25</v>
      </c>
      <c r="V35" t="s">
        <v>38</v>
      </c>
      <c r="W35">
        <v>91</v>
      </c>
    </row>
    <row r="36" spans="1:23" x14ac:dyDescent="0.2">
      <c r="A36" t="s">
        <v>34</v>
      </c>
      <c r="B36" t="s">
        <v>44</v>
      </c>
      <c r="C36">
        <v>8328</v>
      </c>
      <c r="D36" s="5">
        <v>0.1575</v>
      </c>
      <c r="E36">
        <v>45</v>
      </c>
      <c r="F36" s="5">
        <v>0.30199999999999999</v>
      </c>
      <c r="G36">
        <v>962</v>
      </c>
      <c r="H36" s="5">
        <v>3.9300000000000002E-2</v>
      </c>
      <c r="I36">
        <v>45</v>
      </c>
      <c r="J36" s="5">
        <v>0.1148</v>
      </c>
      <c r="K36">
        <v>60</v>
      </c>
      <c r="L36" s="5">
        <v>1.8800000000000001E-2</v>
      </c>
      <c r="M36">
        <v>718</v>
      </c>
      <c r="N36">
        <v>718</v>
      </c>
      <c r="O36">
        <v>0</v>
      </c>
      <c r="P36" s="5">
        <v>0</v>
      </c>
      <c r="Q36">
        <v>492648</v>
      </c>
      <c r="R36">
        <v>9440</v>
      </c>
      <c r="S36">
        <v>0.05</v>
      </c>
      <c r="T36" t="s">
        <v>24</v>
      </c>
      <c r="U36" t="s">
        <v>25</v>
      </c>
      <c r="V36" t="s">
        <v>30</v>
      </c>
      <c r="W36">
        <v>93</v>
      </c>
    </row>
    <row r="37" spans="1:23" x14ac:dyDescent="0.2">
      <c r="A37" t="s">
        <v>39</v>
      </c>
      <c r="B37" t="s">
        <v>44</v>
      </c>
      <c r="C37">
        <v>4063</v>
      </c>
      <c r="D37" s="5">
        <v>0.15720000000000001</v>
      </c>
      <c r="E37">
        <v>26</v>
      </c>
      <c r="F37" s="5">
        <v>0.27079999999999999</v>
      </c>
      <c r="G37">
        <v>857</v>
      </c>
      <c r="H37" s="5">
        <v>8.3000000000000004E-2</v>
      </c>
      <c r="I37">
        <v>2</v>
      </c>
      <c r="J37" s="5">
        <v>1.44E-2</v>
      </c>
      <c r="K37">
        <v>12</v>
      </c>
      <c r="L37" s="5">
        <v>8.0000000000000002E-3</v>
      </c>
      <c r="M37">
        <v>776</v>
      </c>
      <c r="N37">
        <v>776</v>
      </c>
      <c r="O37">
        <v>0</v>
      </c>
      <c r="P37" s="5">
        <v>0</v>
      </c>
      <c r="Q37">
        <v>0</v>
      </c>
      <c r="R37">
        <v>4960</v>
      </c>
      <c r="S37">
        <v>0.03</v>
      </c>
      <c r="T37" t="s">
        <v>24</v>
      </c>
      <c r="U37" t="s">
        <v>37</v>
      </c>
      <c r="V37" t="s">
        <v>30</v>
      </c>
      <c r="W37">
        <v>60</v>
      </c>
    </row>
    <row r="38" spans="1:23" x14ac:dyDescent="0.2">
      <c r="A38" t="s">
        <v>22</v>
      </c>
      <c r="B38" t="s">
        <v>45</v>
      </c>
      <c r="C38">
        <v>7883</v>
      </c>
      <c r="D38" s="5">
        <v>9.4000000000000004E-3</v>
      </c>
      <c r="E38">
        <v>753</v>
      </c>
      <c r="F38" s="5">
        <v>3.1899999999999998E-2</v>
      </c>
      <c r="G38">
        <v>857</v>
      </c>
      <c r="H38" s="5">
        <v>3.2000000000000002E-3</v>
      </c>
      <c r="I38">
        <v>217</v>
      </c>
      <c r="J38" s="5">
        <v>0.105</v>
      </c>
      <c r="K38">
        <v>65</v>
      </c>
      <c r="L38" s="5">
        <v>5.0000000000000001E-4</v>
      </c>
      <c r="M38">
        <v>18528</v>
      </c>
      <c r="N38">
        <v>18483</v>
      </c>
      <c r="O38">
        <v>45</v>
      </c>
      <c r="P38" s="5">
        <v>2.3999999999999998E-3</v>
      </c>
      <c r="Q38">
        <v>207324</v>
      </c>
      <c r="R38">
        <v>9775</v>
      </c>
      <c r="S38">
        <v>0.88</v>
      </c>
      <c r="T38" t="s">
        <v>24</v>
      </c>
      <c r="U38" t="s">
        <v>25</v>
      </c>
      <c r="V38" t="s">
        <v>38</v>
      </c>
      <c r="W38">
        <v>57</v>
      </c>
    </row>
    <row r="39" spans="1:23" x14ac:dyDescent="0.2">
      <c r="A39" t="s">
        <v>31</v>
      </c>
      <c r="B39" t="s">
        <v>45</v>
      </c>
      <c r="C39">
        <v>64583</v>
      </c>
      <c r="D39" s="5">
        <v>6.0299999999999999E-2</v>
      </c>
      <c r="E39">
        <v>1366</v>
      </c>
      <c r="F39" s="5">
        <v>3.04E-2</v>
      </c>
      <c r="G39">
        <v>2805</v>
      </c>
      <c r="H39" s="5">
        <v>8.8999999999999999E-3</v>
      </c>
      <c r="I39">
        <v>183</v>
      </c>
      <c r="J39" s="5">
        <v>5.57E-2</v>
      </c>
      <c r="K39">
        <v>60</v>
      </c>
      <c r="L39" s="5">
        <v>5.0000000000000001E-4</v>
      </c>
      <c r="M39">
        <v>19451</v>
      </c>
      <c r="N39">
        <v>19431</v>
      </c>
      <c r="O39">
        <v>20</v>
      </c>
      <c r="P39" s="5">
        <v>1E-3</v>
      </c>
      <c r="Q39">
        <v>241584</v>
      </c>
      <c r="R39">
        <v>68997</v>
      </c>
      <c r="S39">
        <v>0.49</v>
      </c>
      <c r="T39" t="s">
        <v>24</v>
      </c>
      <c r="U39" t="s">
        <v>25</v>
      </c>
      <c r="V39" t="s">
        <v>38</v>
      </c>
      <c r="W39">
        <v>73</v>
      </c>
    </row>
    <row r="40" spans="1:23" x14ac:dyDescent="0.2">
      <c r="A40" t="s">
        <v>34</v>
      </c>
      <c r="B40" t="s">
        <v>45</v>
      </c>
      <c r="C40">
        <v>78499</v>
      </c>
      <c r="D40" s="5">
        <v>6.4899999999999999E-2</v>
      </c>
      <c r="E40">
        <v>3041</v>
      </c>
      <c r="F40" s="5">
        <v>3.9699999999999999E-2</v>
      </c>
      <c r="G40">
        <v>6573</v>
      </c>
      <c r="H40" s="5">
        <v>1.8700000000000001E-2</v>
      </c>
      <c r="I40">
        <v>106</v>
      </c>
      <c r="J40" s="5">
        <v>2.52E-2</v>
      </c>
      <c r="K40">
        <v>398</v>
      </c>
      <c r="L40" s="5">
        <v>2.2000000000000001E-3</v>
      </c>
      <c r="M40">
        <v>21464</v>
      </c>
      <c r="N40">
        <v>21382</v>
      </c>
      <c r="O40">
        <v>82</v>
      </c>
      <c r="P40" s="5">
        <v>3.8E-3</v>
      </c>
      <c r="Q40">
        <v>272451</v>
      </c>
      <c r="R40">
        <v>88617</v>
      </c>
      <c r="S40">
        <v>0.46</v>
      </c>
      <c r="T40" t="s">
        <v>24</v>
      </c>
      <c r="U40" t="s">
        <v>25</v>
      </c>
      <c r="V40" t="s">
        <v>38</v>
      </c>
      <c r="W40">
        <v>78</v>
      </c>
    </row>
    <row r="41" spans="1:23" x14ac:dyDescent="0.2">
      <c r="A41" t="s">
        <v>39</v>
      </c>
      <c r="B41" t="s">
        <v>45</v>
      </c>
      <c r="C41">
        <v>33936</v>
      </c>
      <c r="D41" s="5">
        <v>5.5800000000000002E-2</v>
      </c>
      <c r="E41">
        <v>2575</v>
      </c>
      <c r="F41" s="5">
        <v>6.4000000000000001E-2</v>
      </c>
      <c r="G41">
        <v>8508</v>
      </c>
      <c r="H41" s="5">
        <v>4.8000000000000001E-2</v>
      </c>
      <c r="I41">
        <v>387</v>
      </c>
      <c r="J41" s="5">
        <v>0.18010000000000001</v>
      </c>
      <c r="K41">
        <v>237</v>
      </c>
      <c r="L41" s="5">
        <v>3.3E-3</v>
      </c>
      <c r="M41">
        <v>24829</v>
      </c>
      <c r="N41">
        <v>24544</v>
      </c>
      <c r="O41">
        <v>285</v>
      </c>
      <c r="P41" s="5">
        <v>1.0999999999999999E-2</v>
      </c>
      <c r="Q41">
        <v>0</v>
      </c>
      <c r="R41">
        <v>45643</v>
      </c>
      <c r="S41">
        <v>0.3</v>
      </c>
      <c r="T41" t="s">
        <v>24</v>
      </c>
      <c r="U41" t="s">
        <v>37</v>
      </c>
      <c r="V41" t="s">
        <v>38</v>
      </c>
      <c r="W41">
        <v>60</v>
      </c>
    </row>
    <row r="42" spans="1:23" x14ac:dyDescent="0.2">
      <c r="A42" t="s">
        <v>22</v>
      </c>
      <c r="B42" t="s">
        <v>46</v>
      </c>
      <c r="C42">
        <v>3788</v>
      </c>
      <c r="D42" s="5">
        <v>1.04E-2</v>
      </c>
      <c r="E42">
        <v>4807</v>
      </c>
      <c r="F42" s="5">
        <v>0.43020000000000003</v>
      </c>
      <c r="G42">
        <v>60</v>
      </c>
      <c r="H42" s="5">
        <v>2.9999999999999997E-4</v>
      </c>
      <c r="I42">
        <v>0</v>
      </c>
      <c r="J42" s="5">
        <v>0</v>
      </c>
      <c r="K42">
        <v>6</v>
      </c>
      <c r="L42" s="5">
        <v>1E-4</v>
      </c>
      <c r="M42">
        <v>10982</v>
      </c>
      <c r="N42">
        <v>10982</v>
      </c>
      <c r="O42">
        <v>0</v>
      </c>
      <c r="P42" s="5">
        <v>0</v>
      </c>
      <c r="Q42">
        <v>224587</v>
      </c>
      <c r="R42">
        <v>8661</v>
      </c>
      <c r="S42">
        <v>80.12</v>
      </c>
      <c r="T42" t="s">
        <v>36</v>
      </c>
      <c r="U42" t="s">
        <v>25</v>
      </c>
      <c r="V42" t="s">
        <v>30</v>
      </c>
      <c r="W42">
        <v>51</v>
      </c>
    </row>
    <row r="43" spans="1:23" x14ac:dyDescent="0.2">
      <c r="A43" t="s">
        <v>31</v>
      </c>
      <c r="B43" t="s">
        <v>46</v>
      </c>
      <c r="C43">
        <v>11698</v>
      </c>
      <c r="D43" s="5">
        <v>2.9100000000000001E-2</v>
      </c>
      <c r="E43">
        <v>13321</v>
      </c>
      <c r="F43" s="5">
        <v>0.52690000000000003</v>
      </c>
      <c r="G43">
        <v>831</v>
      </c>
      <c r="H43" s="5">
        <v>3.8E-3</v>
      </c>
      <c r="I43">
        <v>0</v>
      </c>
      <c r="J43" s="5">
        <v>0</v>
      </c>
      <c r="K43">
        <v>9</v>
      </c>
      <c r="L43" s="5">
        <v>1E-4</v>
      </c>
      <c r="M43">
        <v>12120</v>
      </c>
      <c r="N43">
        <v>12120</v>
      </c>
      <c r="O43">
        <v>0</v>
      </c>
      <c r="P43" s="5">
        <v>0</v>
      </c>
      <c r="Q43">
        <v>264729</v>
      </c>
      <c r="R43">
        <v>25859</v>
      </c>
      <c r="S43">
        <v>16.03</v>
      </c>
      <c r="T43" t="s">
        <v>36</v>
      </c>
      <c r="U43" t="s">
        <v>25</v>
      </c>
      <c r="V43" t="s">
        <v>30</v>
      </c>
      <c r="W43">
        <v>62</v>
      </c>
    </row>
    <row r="44" spans="1:23" x14ac:dyDescent="0.2">
      <c r="A44" t="s">
        <v>34</v>
      </c>
      <c r="B44" t="s">
        <v>46</v>
      </c>
      <c r="C44">
        <v>7432</v>
      </c>
      <c r="D44" s="5">
        <v>1.7100000000000001E-2</v>
      </c>
      <c r="E44">
        <v>20321</v>
      </c>
      <c r="F44" s="5">
        <v>0.52629999999999999</v>
      </c>
      <c r="G44">
        <v>2656</v>
      </c>
      <c r="H44" s="5">
        <v>1.03E-2</v>
      </c>
      <c r="I44">
        <v>0</v>
      </c>
      <c r="J44" s="5">
        <v>0</v>
      </c>
      <c r="K44">
        <v>80</v>
      </c>
      <c r="L44" s="5">
        <v>8.0000000000000004E-4</v>
      </c>
      <c r="M44">
        <v>12768</v>
      </c>
      <c r="N44">
        <v>12768</v>
      </c>
      <c r="O44">
        <v>0</v>
      </c>
      <c r="P44" s="5">
        <v>0</v>
      </c>
      <c r="Q44">
        <v>296592</v>
      </c>
      <c r="R44">
        <v>30489</v>
      </c>
      <c r="S44">
        <v>7.65</v>
      </c>
      <c r="T44" t="s">
        <v>36</v>
      </c>
      <c r="U44" t="s">
        <v>25</v>
      </c>
      <c r="V44" t="s">
        <v>30</v>
      </c>
      <c r="W44">
        <v>80</v>
      </c>
    </row>
    <row r="45" spans="1:23" x14ac:dyDescent="0.2">
      <c r="A45" t="s">
        <v>39</v>
      </c>
      <c r="B45" t="s">
        <v>46</v>
      </c>
      <c r="C45">
        <v>6077</v>
      </c>
      <c r="D45" s="5">
        <v>2.5399999999999999E-2</v>
      </c>
      <c r="E45">
        <v>7198</v>
      </c>
      <c r="F45" s="5">
        <v>0.56489999999999996</v>
      </c>
      <c r="G45">
        <v>769</v>
      </c>
      <c r="H45" s="5">
        <v>5.1000000000000004E-3</v>
      </c>
      <c r="I45">
        <v>75</v>
      </c>
      <c r="J45" s="5">
        <v>2.4500000000000001E-2</v>
      </c>
      <c r="K45">
        <v>570</v>
      </c>
      <c r="L45" s="5">
        <v>9.1999999999999998E-3</v>
      </c>
      <c r="M45">
        <v>13088</v>
      </c>
      <c r="N45">
        <v>12844</v>
      </c>
      <c r="O45">
        <v>244</v>
      </c>
      <c r="P45" s="5">
        <v>1.9E-2</v>
      </c>
      <c r="Q45">
        <v>325759</v>
      </c>
      <c r="R45">
        <v>14689</v>
      </c>
      <c r="S45">
        <v>9.36</v>
      </c>
      <c r="T45" t="s">
        <v>36</v>
      </c>
      <c r="U45" t="s">
        <v>25</v>
      </c>
      <c r="V45" t="s">
        <v>38</v>
      </c>
      <c r="W45">
        <v>69</v>
      </c>
    </row>
    <row r="46" spans="1:23" x14ac:dyDescent="0.2">
      <c r="A46" t="s">
        <v>22</v>
      </c>
      <c r="B46" t="s">
        <v>47</v>
      </c>
      <c r="C46">
        <v>304</v>
      </c>
      <c r="D46" s="5">
        <v>5.1000000000000004E-3</v>
      </c>
      <c r="E46">
        <v>11</v>
      </c>
      <c r="F46" s="5">
        <v>6.25E-2</v>
      </c>
      <c r="G46">
        <v>12</v>
      </c>
      <c r="H46" s="5">
        <v>2.9999999999999997E-4</v>
      </c>
      <c r="I46">
        <v>0</v>
      </c>
      <c r="J46" s="5">
        <v>0</v>
      </c>
      <c r="K46">
        <v>0</v>
      </c>
      <c r="L46" s="5">
        <v>0</v>
      </c>
      <c r="M46">
        <v>1932</v>
      </c>
      <c r="N46">
        <v>1932</v>
      </c>
      <c r="O46">
        <v>0</v>
      </c>
      <c r="P46" s="5">
        <v>0</v>
      </c>
      <c r="Q46">
        <v>173152</v>
      </c>
      <c r="R46">
        <v>327</v>
      </c>
      <c r="S46">
        <v>0.92</v>
      </c>
      <c r="T46" t="s">
        <v>24</v>
      </c>
      <c r="U46" t="s">
        <v>29</v>
      </c>
      <c r="V46" t="s">
        <v>30</v>
      </c>
      <c r="W46">
        <v>47</v>
      </c>
    </row>
    <row r="47" spans="1:23" x14ac:dyDescent="0.2">
      <c r="A47" t="s">
        <v>31</v>
      </c>
      <c r="B47" t="s">
        <v>47</v>
      </c>
      <c r="C47">
        <v>945</v>
      </c>
      <c r="D47" s="5">
        <v>1.5100000000000001E-2</v>
      </c>
      <c r="E47">
        <v>18</v>
      </c>
      <c r="F47" s="5">
        <v>5.6599999999999998E-2</v>
      </c>
      <c r="G47">
        <v>43</v>
      </c>
      <c r="H47" s="5">
        <v>1E-3</v>
      </c>
      <c r="I47">
        <v>0</v>
      </c>
      <c r="J47" s="5">
        <v>0</v>
      </c>
      <c r="K47">
        <v>2</v>
      </c>
      <c r="L47" s="5">
        <v>2.0000000000000001E-4</v>
      </c>
      <c r="M47">
        <v>2030</v>
      </c>
      <c r="N47">
        <v>2030</v>
      </c>
      <c r="O47">
        <v>0</v>
      </c>
      <c r="P47" s="5">
        <v>0</v>
      </c>
      <c r="Q47">
        <v>195795</v>
      </c>
      <c r="R47">
        <v>1008</v>
      </c>
      <c r="S47">
        <v>0.42</v>
      </c>
      <c r="T47" t="s">
        <v>24</v>
      </c>
      <c r="U47" t="s">
        <v>29</v>
      </c>
      <c r="V47" t="s">
        <v>30</v>
      </c>
      <c r="W47">
        <v>51</v>
      </c>
    </row>
    <row r="48" spans="1:23" x14ac:dyDescent="0.2">
      <c r="A48" t="s">
        <v>34</v>
      </c>
      <c r="B48" t="s">
        <v>47</v>
      </c>
      <c r="C48">
        <v>887</v>
      </c>
      <c r="D48" s="5">
        <v>1.34E-2</v>
      </c>
      <c r="E48">
        <v>39</v>
      </c>
      <c r="F48" s="5">
        <v>9.3299999999999994E-2</v>
      </c>
      <c r="G48">
        <v>152</v>
      </c>
      <c r="H48" s="5">
        <v>3.2000000000000002E-3</v>
      </c>
      <c r="I48">
        <v>35</v>
      </c>
      <c r="J48" s="5">
        <v>3.5999999999999997E-2</v>
      </c>
      <c r="K48">
        <v>13</v>
      </c>
      <c r="L48" s="5">
        <v>1E-3</v>
      </c>
      <c r="M48">
        <v>2071</v>
      </c>
      <c r="N48">
        <v>2071</v>
      </c>
      <c r="O48">
        <v>0</v>
      </c>
      <c r="P48" s="5">
        <v>0</v>
      </c>
      <c r="Q48">
        <v>218788</v>
      </c>
      <c r="R48">
        <v>1126</v>
      </c>
      <c r="S48">
        <v>0.26</v>
      </c>
      <c r="T48" t="s">
        <v>24</v>
      </c>
      <c r="U48" t="s">
        <v>25</v>
      </c>
      <c r="V48" t="s">
        <v>30</v>
      </c>
      <c r="W48">
        <v>58</v>
      </c>
    </row>
    <row r="49" spans="1:23" x14ac:dyDescent="0.2">
      <c r="A49" t="s">
        <v>39</v>
      </c>
      <c r="B49" t="s">
        <v>47</v>
      </c>
      <c r="C49">
        <v>486</v>
      </c>
      <c r="D49" s="5">
        <v>1.47E-2</v>
      </c>
      <c r="E49">
        <v>32</v>
      </c>
      <c r="F49" s="5">
        <v>0.4</v>
      </c>
      <c r="G49">
        <v>336</v>
      </c>
      <c r="H49" s="5">
        <v>1.17E-2</v>
      </c>
      <c r="I49">
        <v>0</v>
      </c>
      <c r="J49" s="5">
        <v>0</v>
      </c>
      <c r="K49">
        <v>22</v>
      </c>
      <c r="L49" s="5">
        <v>3.2000000000000002E-3</v>
      </c>
      <c r="M49">
        <v>2181</v>
      </c>
      <c r="N49">
        <v>2181</v>
      </c>
      <c r="O49">
        <v>0</v>
      </c>
      <c r="P49" s="5">
        <v>0</v>
      </c>
      <c r="Q49">
        <v>235199</v>
      </c>
      <c r="R49">
        <v>876</v>
      </c>
      <c r="S49">
        <v>0.1</v>
      </c>
      <c r="T49" t="s">
        <v>24</v>
      </c>
      <c r="U49" t="s">
        <v>25</v>
      </c>
      <c r="V49" t="s">
        <v>30</v>
      </c>
      <c r="W49">
        <v>76</v>
      </c>
    </row>
    <row r="50" spans="1:23" x14ac:dyDescent="0.2">
      <c r="A50" t="s">
        <v>22</v>
      </c>
      <c r="B50" t="s">
        <v>48</v>
      </c>
      <c r="C50">
        <v>1130</v>
      </c>
      <c r="D50" s="5">
        <v>1.3899999999999999E-2</v>
      </c>
      <c r="E50">
        <v>11</v>
      </c>
      <c r="F50" s="5">
        <v>2.8E-3</v>
      </c>
      <c r="G50">
        <v>5</v>
      </c>
      <c r="H50" s="5">
        <v>1E-4</v>
      </c>
      <c r="I50">
        <v>0</v>
      </c>
      <c r="J50" s="5">
        <v>0</v>
      </c>
      <c r="K50">
        <v>0</v>
      </c>
      <c r="L50" s="5">
        <v>0</v>
      </c>
      <c r="M50">
        <v>3280</v>
      </c>
      <c r="N50">
        <v>2680</v>
      </c>
      <c r="O50">
        <v>600</v>
      </c>
      <c r="P50" s="5">
        <v>0.18290000000000001</v>
      </c>
      <c r="Q50">
        <v>101645</v>
      </c>
      <c r="R50">
        <v>1146</v>
      </c>
      <c r="S50">
        <v>2.2000000000000002</v>
      </c>
      <c r="T50" t="s">
        <v>28</v>
      </c>
      <c r="U50" t="s">
        <v>29</v>
      </c>
      <c r="V50" t="s">
        <v>26</v>
      </c>
      <c r="W50">
        <v>36</v>
      </c>
    </row>
    <row r="51" spans="1:23" x14ac:dyDescent="0.2">
      <c r="A51" t="s">
        <v>31</v>
      </c>
      <c r="B51" t="s">
        <v>48</v>
      </c>
      <c r="C51">
        <v>2132</v>
      </c>
      <c r="D51" s="5">
        <v>2.5399999999999999E-2</v>
      </c>
      <c r="E51">
        <v>2508</v>
      </c>
      <c r="F51" s="5">
        <v>0.38690000000000002</v>
      </c>
      <c r="G51">
        <v>48</v>
      </c>
      <c r="H51" s="5">
        <v>8.9999999999999998E-4</v>
      </c>
      <c r="I51">
        <v>2</v>
      </c>
      <c r="J51" s="5">
        <v>3.0999999999999999E-3</v>
      </c>
      <c r="K51">
        <v>0</v>
      </c>
      <c r="L51" s="5">
        <v>0</v>
      </c>
      <c r="M51">
        <v>3076</v>
      </c>
      <c r="N51">
        <v>2826</v>
      </c>
      <c r="O51">
        <v>250</v>
      </c>
      <c r="P51" s="5">
        <v>8.1299999999999997E-2</v>
      </c>
      <c r="Q51">
        <v>112898</v>
      </c>
      <c r="R51">
        <v>4690</v>
      </c>
      <c r="S51">
        <v>52.25</v>
      </c>
      <c r="T51" t="s">
        <v>36</v>
      </c>
      <c r="U51" t="s">
        <v>29</v>
      </c>
      <c r="V51" t="s">
        <v>26</v>
      </c>
      <c r="W51">
        <v>42</v>
      </c>
    </row>
    <row r="52" spans="1:23" x14ac:dyDescent="0.2">
      <c r="A52" t="s">
        <v>34</v>
      </c>
      <c r="B52" t="s">
        <v>48</v>
      </c>
      <c r="C52">
        <v>1828</v>
      </c>
      <c r="D52" s="5">
        <v>2.1600000000000001E-2</v>
      </c>
      <c r="E52">
        <v>7599</v>
      </c>
      <c r="F52" s="5">
        <v>0.66590000000000005</v>
      </c>
      <c r="G52">
        <v>143</v>
      </c>
      <c r="H52" s="5">
        <v>2.5999999999999999E-3</v>
      </c>
      <c r="I52">
        <v>150</v>
      </c>
      <c r="J52" s="5">
        <v>8.6499999999999994E-2</v>
      </c>
      <c r="K52">
        <v>0</v>
      </c>
      <c r="L52" s="5">
        <v>0</v>
      </c>
      <c r="M52">
        <v>3137</v>
      </c>
      <c r="N52">
        <v>2967</v>
      </c>
      <c r="O52">
        <v>170</v>
      </c>
      <c r="P52" s="5">
        <v>5.4199999999999998E-2</v>
      </c>
      <c r="Q52">
        <v>130492</v>
      </c>
      <c r="R52">
        <v>9720</v>
      </c>
      <c r="S52">
        <v>53.14</v>
      </c>
      <c r="T52" t="s">
        <v>36</v>
      </c>
      <c r="U52" t="s">
        <v>29</v>
      </c>
      <c r="V52" t="s">
        <v>26</v>
      </c>
      <c r="W52">
        <v>48</v>
      </c>
    </row>
    <row r="53" spans="1:23" x14ac:dyDescent="0.2">
      <c r="A53" t="s">
        <v>39</v>
      </c>
      <c r="B53" t="s">
        <v>48</v>
      </c>
      <c r="C53">
        <v>1633</v>
      </c>
      <c r="D53" s="5">
        <v>3.6700000000000003E-2</v>
      </c>
      <c r="E53">
        <v>4320</v>
      </c>
      <c r="F53" s="5">
        <v>0.65390000000000004</v>
      </c>
      <c r="G53">
        <v>304</v>
      </c>
      <c r="H53" s="5">
        <v>9.7999999999999997E-3</v>
      </c>
      <c r="I53">
        <v>0</v>
      </c>
      <c r="J53" s="5">
        <v>0</v>
      </c>
      <c r="K53">
        <v>20</v>
      </c>
      <c r="L53" s="5">
        <v>2.7000000000000001E-3</v>
      </c>
      <c r="M53">
        <v>3181</v>
      </c>
      <c r="N53">
        <v>3133</v>
      </c>
      <c r="O53">
        <v>48</v>
      </c>
      <c r="P53" s="5">
        <v>1.4999999999999999E-2</v>
      </c>
      <c r="Q53">
        <v>142138</v>
      </c>
      <c r="R53">
        <v>6277</v>
      </c>
      <c r="S53">
        <v>14.21</v>
      </c>
      <c r="T53" t="s">
        <v>36</v>
      </c>
      <c r="U53" t="s">
        <v>29</v>
      </c>
      <c r="V53" t="s">
        <v>38</v>
      </c>
      <c r="W53">
        <v>68</v>
      </c>
    </row>
    <row r="54" spans="1:23" x14ac:dyDescent="0.2">
      <c r="A54" t="s">
        <v>22</v>
      </c>
      <c r="B54" t="s">
        <v>49</v>
      </c>
      <c r="C54">
        <v>1672</v>
      </c>
      <c r="D54" s="5">
        <v>4.4000000000000003E-3</v>
      </c>
      <c r="E54">
        <v>2019</v>
      </c>
      <c r="F54" s="5">
        <v>0.20219999999999999</v>
      </c>
      <c r="G54">
        <v>48</v>
      </c>
      <c r="H54" s="5">
        <v>8.0000000000000004E-4</v>
      </c>
      <c r="I54">
        <v>0</v>
      </c>
      <c r="J54" s="5">
        <v>0</v>
      </c>
      <c r="K54">
        <v>2</v>
      </c>
      <c r="L54" s="5">
        <v>1E-4</v>
      </c>
      <c r="M54">
        <v>1651</v>
      </c>
      <c r="N54">
        <v>1527</v>
      </c>
      <c r="O54">
        <v>124</v>
      </c>
      <c r="P54" s="5">
        <v>7.51E-2</v>
      </c>
      <c r="Q54">
        <v>69963</v>
      </c>
      <c r="R54">
        <v>3741</v>
      </c>
      <c r="S54">
        <v>42.06</v>
      </c>
      <c r="T54" t="s">
        <v>36</v>
      </c>
      <c r="U54" t="s">
        <v>37</v>
      </c>
      <c r="V54" t="s">
        <v>26</v>
      </c>
      <c r="W54">
        <v>39</v>
      </c>
    </row>
    <row r="55" spans="1:23" x14ac:dyDescent="0.2">
      <c r="A55" t="s">
        <v>31</v>
      </c>
      <c r="B55" t="s">
        <v>49</v>
      </c>
      <c r="C55">
        <v>6730</v>
      </c>
      <c r="D55" s="5">
        <v>1.7000000000000001E-2</v>
      </c>
      <c r="E55">
        <v>6794</v>
      </c>
      <c r="F55" s="5">
        <v>0.43969999999999998</v>
      </c>
      <c r="G55">
        <v>157</v>
      </c>
      <c r="H55" s="5">
        <v>2.8999999999999998E-3</v>
      </c>
      <c r="I55">
        <v>0</v>
      </c>
      <c r="J55" s="5">
        <v>0</v>
      </c>
      <c r="K55">
        <v>0</v>
      </c>
      <c r="L55" s="5">
        <v>0</v>
      </c>
      <c r="M55">
        <v>1887</v>
      </c>
      <c r="N55">
        <v>1611</v>
      </c>
      <c r="O55">
        <v>276</v>
      </c>
      <c r="P55" s="5">
        <v>0.14630000000000001</v>
      </c>
      <c r="Q55">
        <v>88500</v>
      </c>
      <c r="R55">
        <v>13681</v>
      </c>
      <c r="S55">
        <v>43.27</v>
      </c>
      <c r="T55" t="s">
        <v>36</v>
      </c>
      <c r="U55" t="s">
        <v>37</v>
      </c>
      <c r="V55" t="s">
        <v>26</v>
      </c>
      <c r="W55">
        <v>43</v>
      </c>
    </row>
    <row r="56" spans="1:23" x14ac:dyDescent="0.2">
      <c r="A56" t="s">
        <v>34</v>
      </c>
      <c r="B56" t="s">
        <v>49</v>
      </c>
      <c r="C56">
        <v>7400</v>
      </c>
      <c r="D56" s="5">
        <v>1.7100000000000001E-2</v>
      </c>
      <c r="E56">
        <v>13225</v>
      </c>
      <c r="F56" s="5">
        <v>0.57869999999999999</v>
      </c>
      <c r="G56">
        <v>452</v>
      </c>
      <c r="H56" s="5">
        <v>8.0999999999999996E-3</v>
      </c>
      <c r="I56">
        <v>2</v>
      </c>
      <c r="J56" s="5">
        <v>1.6000000000000001E-3</v>
      </c>
      <c r="K56">
        <v>18</v>
      </c>
      <c r="L56" s="5">
        <v>5.9999999999999995E-4</v>
      </c>
      <c r="M56">
        <v>2253</v>
      </c>
      <c r="N56">
        <v>1918</v>
      </c>
      <c r="O56">
        <v>336</v>
      </c>
      <c r="P56" s="5">
        <v>0.1489</v>
      </c>
      <c r="Q56">
        <v>96449</v>
      </c>
      <c r="R56">
        <v>21097</v>
      </c>
      <c r="S56">
        <v>29.26</v>
      </c>
      <c r="T56" t="s">
        <v>36</v>
      </c>
      <c r="U56" t="s">
        <v>37</v>
      </c>
      <c r="V56" t="s">
        <v>26</v>
      </c>
      <c r="W56">
        <v>56</v>
      </c>
    </row>
    <row r="57" spans="1:23" x14ac:dyDescent="0.2">
      <c r="A57" t="s">
        <v>39</v>
      </c>
      <c r="B57" t="s">
        <v>49</v>
      </c>
      <c r="C57">
        <v>6016</v>
      </c>
      <c r="D57" s="5">
        <v>2.53E-2</v>
      </c>
      <c r="E57">
        <v>9830</v>
      </c>
      <c r="F57" s="5">
        <v>0.67759999999999998</v>
      </c>
      <c r="G57">
        <v>409</v>
      </c>
      <c r="H57" s="5">
        <v>1.2E-2</v>
      </c>
      <c r="I57">
        <v>2</v>
      </c>
      <c r="J57" s="5">
        <v>3.7000000000000002E-3</v>
      </c>
      <c r="K57">
        <v>76</v>
      </c>
      <c r="L57" s="5">
        <v>4.5999999999999999E-3</v>
      </c>
      <c r="M57">
        <v>2193</v>
      </c>
      <c r="N57">
        <v>2020</v>
      </c>
      <c r="O57">
        <v>173</v>
      </c>
      <c r="P57" s="5">
        <v>7.9000000000000001E-2</v>
      </c>
      <c r="Q57">
        <v>105274</v>
      </c>
      <c r="R57">
        <v>16333</v>
      </c>
      <c r="S57">
        <v>24.03</v>
      </c>
      <c r="T57" t="s">
        <v>36</v>
      </c>
      <c r="U57" t="s">
        <v>29</v>
      </c>
      <c r="V57" t="s">
        <v>26</v>
      </c>
      <c r="W57">
        <v>64</v>
      </c>
    </row>
    <row r="58" spans="1:23" x14ac:dyDescent="0.2">
      <c r="A58" t="s">
        <v>22</v>
      </c>
      <c r="B58" t="s">
        <v>50</v>
      </c>
      <c r="C58">
        <v>29612</v>
      </c>
      <c r="D58" s="5">
        <v>3.5900000000000001E-2</v>
      </c>
      <c r="E58">
        <v>2146</v>
      </c>
      <c r="F58" s="5">
        <v>0.1195</v>
      </c>
      <c r="G58">
        <v>1487</v>
      </c>
      <c r="H58" s="5">
        <v>7.0000000000000001E-3</v>
      </c>
      <c r="I58">
        <v>27</v>
      </c>
      <c r="J58" s="5">
        <v>2.63E-2</v>
      </c>
      <c r="K58">
        <v>42</v>
      </c>
      <c r="L58" s="5">
        <v>2.9999999999999997E-4</v>
      </c>
      <c r="M58">
        <v>14367</v>
      </c>
      <c r="N58">
        <v>14367</v>
      </c>
      <c r="O58">
        <v>0</v>
      </c>
      <c r="P58" s="5">
        <v>0</v>
      </c>
      <c r="Q58">
        <v>221781</v>
      </c>
      <c r="R58">
        <v>33314</v>
      </c>
      <c r="S58">
        <v>1.44</v>
      </c>
      <c r="T58" t="s">
        <v>24</v>
      </c>
      <c r="U58" t="s">
        <v>25</v>
      </c>
      <c r="V58" t="s">
        <v>30</v>
      </c>
      <c r="W58">
        <v>67</v>
      </c>
    </row>
    <row r="59" spans="1:23" x14ac:dyDescent="0.2">
      <c r="A59" t="s">
        <v>31</v>
      </c>
      <c r="B59" t="s">
        <v>50</v>
      </c>
      <c r="C59">
        <v>86916</v>
      </c>
      <c r="D59" s="5">
        <v>8.1000000000000003E-2</v>
      </c>
      <c r="E59">
        <v>4305</v>
      </c>
      <c r="F59" s="5">
        <v>0.1396</v>
      </c>
      <c r="G59">
        <v>4331</v>
      </c>
      <c r="H59" s="5">
        <v>1.61E-2</v>
      </c>
      <c r="I59">
        <v>364</v>
      </c>
      <c r="J59" s="5">
        <v>7.9699999999999993E-2</v>
      </c>
      <c r="K59">
        <v>18</v>
      </c>
      <c r="L59" s="5">
        <v>1E-4</v>
      </c>
      <c r="M59">
        <v>14830</v>
      </c>
      <c r="N59">
        <v>14818</v>
      </c>
      <c r="O59">
        <v>12</v>
      </c>
      <c r="P59" s="5">
        <v>8.0000000000000004E-4</v>
      </c>
      <c r="Q59">
        <v>266866</v>
      </c>
      <c r="R59">
        <v>95934</v>
      </c>
      <c r="S59">
        <v>0.99</v>
      </c>
      <c r="T59" t="s">
        <v>24</v>
      </c>
      <c r="U59" t="s">
        <v>25</v>
      </c>
      <c r="V59" t="s">
        <v>38</v>
      </c>
      <c r="W59">
        <v>78</v>
      </c>
    </row>
    <row r="60" spans="1:23" x14ac:dyDescent="0.2">
      <c r="A60" t="s">
        <v>34</v>
      </c>
      <c r="B60" t="s">
        <v>50</v>
      </c>
      <c r="C60">
        <v>133640</v>
      </c>
      <c r="D60" s="5">
        <v>0.1096</v>
      </c>
      <c r="E60">
        <v>5437</v>
      </c>
      <c r="F60" s="5">
        <v>9.1800000000000007E-2</v>
      </c>
      <c r="G60">
        <v>11658</v>
      </c>
      <c r="H60" s="5">
        <v>3.9399999999999998E-2</v>
      </c>
      <c r="I60">
        <v>280</v>
      </c>
      <c r="J60" s="5">
        <v>4.24E-2</v>
      </c>
      <c r="K60">
        <v>257</v>
      </c>
      <c r="L60" s="5">
        <v>1.6999999999999999E-3</v>
      </c>
      <c r="M60">
        <v>15828</v>
      </c>
      <c r="N60">
        <v>15828</v>
      </c>
      <c r="O60">
        <v>0</v>
      </c>
      <c r="P60" s="5">
        <v>0</v>
      </c>
      <c r="Q60">
        <v>304474</v>
      </c>
      <c r="R60">
        <v>151272</v>
      </c>
      <c r="S60">
        <v>0.47</v>
      </c>
      <c r="T60" t="s">
        <v>24</v>
      </c>
      <c r="U60" t="s">
        <v>25</v>
      </c>
      <c r="V60" t="s">
        <v>30</v>
      </c>
      <c r="W60">
        <v>80</v>
      </c>
    </row>
    <row r="61" spans="1:23" x14ac:dyDescent="0.2">
      <c r="A61" t="s">
        <v>39</v>
      </c>
      <c r="B61" t="s">
        <v>50</v>
      </c>
      <c r="C61">
        <v>97894</v>
      </c>
      <c r="D61" s="5">
        <v>0.1527</v>
      </c>
      <c r="E61">
        <v>4175</v>
      </c>
      <c r="F61" s="5">
        <v>0.13220000000000001</v>
      </c>
      <c r="G61">
        <v>11642</v>
      </c>
      <c r="H61" s="5">
        <v>7.3700000000000002E-2</v>
      </c>
      <c r="I61">
        <v>40</v>
      </c>
      <c r="J61" s="5">
        <v>1.17E-2</v>
      </c>
      <c r="K61">
        <v>904</v>
      </c>
      <c r="L61" s="5">
        <v>1.18E-2</v>
      </c>
      <c r="M61">
        <v>17212</v>
      </c>
      <c r="N61">
        <v>17212</v>
      </c>
      <c r="O61">
        <v>0</v>
      </c>
      <c r="P61" s="5">
        <v>0</v>
      </c>
      <c r="Q61">
        <v>332926</v>
      </c>
      <c r="R61">
        <v>114655</v>
      </c>
      <c r="S61">
        <v>0.36</v>
      </c>
      <c r="T61" t="s">
        <v>24</v>
      </c>
      <c r="U61" t="s">
        <v>25</v>
      </c>
      <c r="V61" t="s">
        <v>30</v>
      </c>
      <c r="W61">
        <v>82</v>
      </c>
    </row>
    <row r="62" spans="1:23" x14ac:dyDescent="0.2">
      <c r="A62" t="s">
        <v>22</v>
      </c>
      <c r="B62" t="s">
        <v>51</v>
      </c>
      <c r="C62">
        <v>5879</v>
      </c>
      <c r="D62" s="5">
        <v>1.14E-2</v>
      </c>
      <c r="E62">
        <v>1276</v>
      </c>
      <c r="F62" s="5">
        <v>9.64E-2</v>
      </c>
      <c r="G62">
        <v>1644</v>
      </c>
      <c r="H62" s="5">
        <v>7.7999999999999996E-3</v>
      </c>
      <c r="I62">
        <v>0</v>
      </c>
      <c r="J62" s="5">
        <v>0</v>
      </c>
      <c r="K62">
        <v>2</v>
      </c>
      <c r="L62" s="5">
        <v>1E-4</v>
      </c>
      <c r="M62">
        <v>4275</v>
      </c>
      <c r="N62">
        <v>4269</v>
      </c>
      <c r="O62">
        <v>6</v>
      </c>
      <c r="P62" s="5">
        <v>1.4E-3</v>
      </c>
      <c r="Q62">
        <v>194432</v>
      </c>
      <c r="R62">
        <v>8801</v>
      </c>
      <c r="S62">
        <v>0.78</v>
      </c>
      <c r="T62" t="s">
        <v>24</v>
      </c>
      <c r="U62" t="s">
        <v>29</v>
      </c>
      <c r="V62" t="s">
        <v>38</v>
      </c>
      <c r="W62">
        <v>67</v>
      </c>
    </row>
    <row r="63" spans="1:23" x14ac:dyDescent="0.2">
      <c r="A63" t="s">
        <v>31</v>
      </c>
      <c r="B63" t="s">
        <v>51</v>
      </c>
      <c r="C63">
        <v>33437</v>
      </c>
      <c r="D63" s="5">
        <v>6.2899999999999998E-2</v>
      </c>
      <c r="E63">
        <v>2367</v>
      </c>
      <c r="F63" s="5">
        <v>0.1217</v>
      </c>
      <c r="G63">
        <v>3821</v>
      </c>
      <c r="H63" s="5">
        <v>1.9E-2</v>
      </c>
      <c r="I63">
        <v>40</v>
      </c>
      <c r="J63" s="5">
        <v>1.6899999999999998E-2</v>
      </c>
      <c r="K63">
        <v>6</v>
      </c>
      <c r="L63" s="5">
        <v>2.0000000000000001E-4</v>
      </c>
      <c r="M63">
        <v>4374</v>
      </c>
      <c r="N63">
        <v>4364</v>
      </c>
      <c r="O63">
        <v>10</v>
      </c>
      <c r="P63" s="5">
        <v>2.3E-3</v>
      </c>
      <c r="Q63">
        <v>230280</v>
      </c>
      <c r="R63">
        <v>39671</v>
      </c>
      <c r="S63">
        <v>0.62</v>
      </c>
      <c r="T63" t="s">
        <v>24</v>
      </c>
      <c r="U63" t="s">
        <v>25</v>
      </c>
      <c r="V63" t="s">
        <v>38</v>
      </c>
      <c r="W63">
        <v>75</v>
      </c>
    </row>
    <row r="64" spans="1:23" x14ac:dyDescent="0.2">
      <c r="A64" t="s">
        <v>34</v>
      </c>
      <c r="B64" t="s">
        <v>51</v>
      </c>
      <c r="C64">
        <v>61528</v>
      </c>
      <c r="D64" s="5">
        <v>0.1258</v>
      </c>
      <c r="E64">
        <v>4070</v>
      </c>
      <c r="F64" s="5">
        <v>0.12429999999999999</v>
      </c>
      <c r="G64">
        <v>8988</v>
      </c>
      <c r="H64" s="5">
        <v>4.7399999999999998E-2</v>
      </c>
      <c r="I64">
        <v>70</v>
      </c>
      <c r="J64" s="5">
        <v>1.44E-2</v>
      </c>
      <c r="K64">
        <v>58</v>
      </c>
      <c r="L64" s="5">
        <v>2.0999999999999999E-3</v>
      </c>
      <c r="M64">
        <v>4699</v>
      </c>
      <c r="N64">
        <v>4370</v>
      </c>
      <c r="O64">
        <v>329</v>
      </c>
      <c r="P64" s="5">
        <v>7.0000000000000007E-2</v>
      </c>
      <c r="Q64">
        <v>252662</v>
      </c>
      <c r="R64">
        <v>74714</v>
      </c>
      <c r="S64">
        <v>0.45</v>
      </c>
      <c r="T64" t="s">
        <v>24</v>
      </c>
      <c r="U64" t="s">
        <v>25</v>
      </c>
      <c r="V64" t="s">
        <v>26</v>
      </c>
      <c r="W64">
        <v>74</v>
      </c>
    </row>
    <row r="65" spans="1:23" x14ac:dyDescent="0.2">
      <c r="A65" t="s">
        <v>39</v>
      </c>
      <c r="B65" t="s">
        <v>51</v>
      </c>
      <c r="C65">
        <v>42451</v>
      </c>
      <c r="D65" s="5">
        <v>0.15709999999999999</v>
      </c>
      <c r="E65">
        <v>4091</v>
      </c>
      <c r="F65" s="5">
        <v>0.22950000000000001</v>
      </c>
      <c r="G65">
        <v>6849</v>
      </c>
      <c r="H65" s="5">
        <v>7.5999999999999998E-2</v>
      </c>
      <c r="I65">
        <v>3</v>
      </c>
      <c r="J65" s="5">
        <v>1.1000000000000001E-3</v>
      </c>
      <c r="K65">
        <v>320</v>
      </c>
      <c r="L65" s="5">
        <v>2.2100000000000002E-2</v>
      </c>
      <c r="M65">
        <v>5284</v>
      </c>
      <c r="N65">
        <v>5284</v>
      </c>
      <c r="O65">
        <v>0</v>
      </c>
      <c r="P65" s="5">
        <v>0</v>
      </c>
      <c r="Q65">
        <v>281001</v>
      </c>
      <c r="R65">
        <v>53714</v>
      </c>
      <c r="S65">
        <v>0.6</v>
      </c>
      <c r="T65" t="s">
        <v>24</v>
      </c>
      <c r="U65" t="s">
        <v>25</v>
      </c>
      <c r="V65" t="s">
        <v>30</v>
      </c>
      <c r="W65">
        <v>79</v>
      </c>
    </row>
    <row r="66" spans="1:23" x14ac:dyDescent="0.2">
      <c r="A66" t="s">
        <v>22</v>
      </c>
      <c r="B66" t="s">
        <v>52</v>
      </c>
      <c r="C66">
        <v>5102</v>
      </c>
      <c r="D66" s="5">
        <v>5.7999999999999996E-3</v>
      </c>
      <c r="E66">
        <v>5133</v>
      </c>
      <c r="F66" s="5">
        <v>0.35599999999999998</v>
      </c>
      <c r="G66">
        <v>192</v>
      </c>
      <c r="H66" s="5">
        <v>1.5E-3</v>
      </c>
      <c r="I66">
        <v>0</v>
      </c>
      <c r="J66" s="5">
        <v>0</v>
      </c>
      <c r="K66">
        <v>0</v>
      </c>
      <c r="L66" s="5">
        <v>0</v>
      </c>
      <c r="M66">
        <v>15756</v>
      </c>
      <c r="N66">
        <v>15668</v>
      </c>
      <c r="O66">
        <v>88</v>
      </c>
      <c r="P66" s="5">
        <v>5.5999999999999999E-3</v>
      </c>
      <c r="Q66">
        <v>102007</v>
      </c>
      <c r="R66">
        <v>10427</v>
      </c>
      <c r="S66">
        <v>26.73</v>
      </c>
      <c r="T66" t="s">
        <v>36</v>
      </c>
      <c r="U66" t="s">
        <v>29</v>
      </c>
      <c r="V66" t="s">
        <v>38</v>
      </c>
      <c r="W66">
        <v>45</v>
      </c>
    </row>
    <row r="67" spans="1:23" x14ac:dyDescent="0.2">
      <c r="A67" t="s">
        <v>31</v>
      </c>
      <c r="B67" t="s">
        <v>52</v>
      </c>
      <c r="C67">
        <v>22418</v>
      </c>
      <c r="D67" s="5">
        <v>2.1600000000000001E-2</v>
      </c>
      <c r="E67">
        <v>13825</v>
      </c>
      <c r="F67" s="5">
        <v>0.49809999999999999</v>
      </c>
      <c r="G67">
        <v>534</v>
      </c>
      <c r="H67" s="5">
        <v>3.3999999999999998E-3</v>
      </c>
      <c r="I67">
        <v>20</v>
      </c>
      <c r="J67" s="5">
        <v>6.7999999999999996E-3</v>
      </c>
      <c r="K67">
        <v>0</v>
      </c>
      <c r="L67" s="5">
        <v>0</v>
      </c>
      <c r="M67">
        <v>15917</v>
      </c>
      <c r="N67">
        <v>15917</v>
      </c>
      <c r="O67">
        <v>0</v>
      </c>
      <c r="P67" s="5">
        <v>0</v>
      </c>
      <c r="Q67">
        <v>116689</v>
      </c>
      <c r="R67">
        <v>36797</v>
      </c>
      <c r="S67">
        <v>25.89</v>
      </c>
      <c r="T67" t="s">
        <v>36</v>
      </c>
      <c r="U67" t="s">
        <v>29</v>
      </c>
      <c r="V67" t="s">
        <v>30</v>
      </c>
      <c r="W67">
        <v>51</v>
      </c>
    </row>
    <row r="68" spans="1:23" x14ac:dyDescent="0.2">
      <c r="A68" t="s">
        <v>34</v>
      </c>
      <c r="B68" t="s">
        <v>52</v>
      </c>
      <c r="C68">
        <v>36226</v>
      </c>
      <c r="D68" s="5">
        <v>3.27E-2</v>
      </c>
      <c r="E68">
        <v>29292</v>
      </c>
      <c r="F68" s="5">
        <v>0.58340000000000003</v>
      </c>
      <c r="G68">
        <v>1460</v>
      </c>
      <c r="H68" s="5">
        <v>9.1999999999999998E-3</v>
      </c>
      <c r="I68">
        <v>15</v>
      </c>
      <c r="J68" s="5">
        <v>4.1999999999999997E-3</v>
      </c>
      <c r="K68">
        <v>58</v>
      </c>
      <c r="L68" s="5">
        <v>4.0000000000000002E-4</v>
      </c>
      <c r="M68">
        <v>17347</v>
      </c>
      <c r="N68">
        <v>17238</v>
      </c>
      <c r="O68">
        <v>109</v>
      </c>
      <c r="P68" s="5">
        <v>6.3E-3</v>
      </c>
      <c r="Q68">
        <v>132010</v>
      </c>
      <c r="R68">
        <v>67051</v>
      </c>
      <c r="S68">
        <v>20.059999999999999</v>
      </c>
      <c r="T68" t="s">
        <v>36</v>
      </c>
      <c r="U68" t="s">
        <v>29</v>
      </c>
      <c r="V68" t="s">
        <v>38</v>
      </c>
      <c r="W68">
        <v>67</v>
      </c>
    </row>
    <row r="69" spans="1:23" x14ac:dyDescent="0.2">
      <c r="A69" t="s">
        <v>39</v>
      </c>
      <c r="B69" t="s">
        <v>52</v>
      </c>
      <c r="C69">
        <v>56522</v>
      </c>
      <c r="D69" s="5">
        <v>0.1036</v>
      </c>
      <c r="E69">
        <v>14558</v>
      </c>
      <c r="F69" s="5">
        <v>0.63490000000000002</v>
      </c>
      <c r="G69">
        <v>2528</v>
      </c>
      <c r="H69" s="5">
        <v>2.35E-2</v>
      </c>
      <c r="I69">
        <v>2</v>
      </c>
      <c r="J69" s="5">
        <v>8.9999999999999998E-4</v>
      </c>
      <c r="K69">
        <v>294</v>
      </c>
      <c r="L69" s="5">
        <v>4.0000000000000001E-3</v>
      </c>
      <c r="M69">
        <v>18252</v>
      </c>
      <c r="N69">
        <v>17817</v>
      </c>
      <c r="O69">
        <v>435</v>
      </c>
      <c r="P69" s="5">
        <v>2.4E-2</v>
      </c>
      <c r="Q69">
        <v>142565</v>
      </c>
      <c r="R69">
        <v>73904</v>
      </c>
      <c r="S69">
        <v>5.76</v>
      </c>
      <c r="T69" t="s">
        <v>36</v>
      </c>
      <c r="U69" t="s">
        <v>29</v>
      </c>
      <c r="V69" t="s">
        <v>38</v>
      </c>
      <c r="W69">
        <v>69</v>
      </c>
    </row>
    <row r="70" spans="1:23" x14ac:dyDescent="0.2">
      <c r="A70" t="s">
        <v>22</v>
      </c>
      <c r="B70" t="s">
        <v>53</v>
      </c>
      <c r="C70">
        <v>23674</v>
      </c>
      <c r="D70" s="5">
        <v>1.78E-2</v>
      </c>
      <c r="E70">
        <v>1938</v>
      </c>
      <c r="F70" s="5">
        <v>6.5100000000000005E-2</v>
      </c>
      <c r="G70">
        <v>3740</v>
      </c>
      <c r="H70" s="5">
        <v>1.06E-2</v>
      </c>
      <c r="I70">
        <v>552</v>
      </c>
      <c r="J70" s="5">
        <v>0.33700000000000002</v>
      </c>
      <c r="K70">
        <v>3</v>
      </c>
      <c r="L70" s="5">
        <v>0</v>
      </c>
      <c r="M70">
        <v>25576</v>
      </c>
      <c r="N70">
        <v>25513</v>
      </c>
      <c r="O70">
        <v>63</v>
      </c>
      <c r="P70" s="5">
        <v>2.5000000000000001E-3</v>
      </c>
      <c r="Q70">
        <v>182454</v>
      </c>
      <c r="R70">
        <v>29907</v>
      </c>
      <c r="S70">
        <v>0.52</v>
      </c>
      <c r="T70" t="s">
        <v>24</v>
      </c>
      <c r="U70" t="s">
        <v>29</v>
      </c>
      <c r="V70" t="s">
        <v>38</v>
      </c>
      <c r="W70">
        <v>72</v>
      </c>
    </row>
    <row r="71" spans="1:23" x14ac:dyDescent="0.2">
      <c r="A71" t="s">
        <v>31</v>
      </c>
      <c r="B71" t="s">
        <v>53</v>
      </c>
      <c r="C71">
        <v>117557</v>
      </c>
      <c r="D71" s="5">
        <v>7.1599999999999997E-2</v>
      </c>
      <c r="E71">
        <v>6427</v>
      </c>
      <c r="F71" s="5">
        <v>0.13750000000000001</v>
      </c>
      <c r="G71">
        <v>11692</v>
      </c>
      <c r="H71" s="5">
        <v>2.6700000000000002E-2</v>
      </c>
      <c r="I71">
        <v>336</v>
      </c>
      <c r="J71" s="5">
        <v>7.7299999999999994E-2</v>
      </c>
      <c r="K71">
        <v>24</v>
      </c>
      <c r="L71" s="5">
        <v>1E-4</v>
      </c>
      <c r="M71">
        <v>28075</v>
      </c>
      <c r="N71">
        <v>28016</v>
      </c>
      <c r="O71">
        <v>59</v>
      </c>
      <c r="P71" s="5">
        <v>2.0999999999999999E-3</v>
      </c>
      <c r="Q71">
        <v>219573</v>
      </c>
      <c r="R71">
        <v>136036</v>
      </c>
      <c r="S71">
        <v>0.55000000000000004</v>
      </c>
      <c r="T71" t="s">
        <v>24</v>
      </c>
      <c r="U71" t="s">
        <v>25</v>
      </c>
      <c r="V71" t="s">
        <v>38</v>
      </c>
      <c r="W71">
        <v>75</v>
      </c>
    </row>
    <row r="72" spans="1:23" x14ac:dyDescent="0.2">
      <c r="A72" t="s">
        <v>34</v>
      </c>
      <c r="B72" t="s">
        <v>53</v>
      </c>
      <c r="C72">
        <v>167773</v>
      </c>
      <c r="D72" s="5">
        <v>9.4399999999999998E-2</v>
      </c>
      <c r="E72">
        <v>11523</v>
      </c>
      <c r="F72" s="5">
        <v>0.14899999999999999</v>
      </c>
      <c r="G72">
        <v>13750</v>
      </c>
      <c r="H72" s="5">
        <v>2.92E-2</v>
      </c>
      <c r="I72">
        <v>451</v>
      </c>
      <c r="J72" s="5">
        <v>4.6100000000000002E-2</v>
      </c>
      <c r="K72">
        <v>438</v>
      </c>
      <c r="L72" s="5">
        <v>1.9E-3</v>
      </c>
      <c r="M72">
        <v>30935</v>
      </c>
      <c r="N72">
        <v>28846</v>
      </c>
      <c r="O72">
        <v>2089</v>
      </c>
      <c r="P72" s="5">
        <v>6.7500000000000004E-2</v>
      </c>
      <c r="Q72">
        <v>252389</v>
      </c>
      <c r="R72">
        <v>193935</v>
      </c>
      <c r="S72">
        <v>0.84</v>
      </c>
      <c r="T72" t="s">
        <v>24</v>
      </c>
      <c r="U72" t="s">
        <v>25</v>
      </c>
      <c r="V72" t="s">
        <v>26</v>
      </c>
      <c r="W72">
        <v>74</v>
      </c>
    </row>
    <row r="73" spans="1:23" x14ac:dyDescent="0.2">
      <c r="A73" t="s">
        <v>39</v>
      </c>
      <c r="B73" t="s">
        <v>53</v>
      </c>
      <c r="C73">
        <v>117238</v>
      </c>
      <c r="D73" s="5">
        <v>0.11020000000000001</v>
      </c>
      <c r="E73">
        <v>5081</v>
      </c>
      <c r="F73" s="5">
        <v>0.13900000000000001</v>
      </c>
      <c r="G73">
        <v>16893</v>
      </c>
      <c r="H73" s="5">
        <v>6.3600000000000004E-2</v>
      </c>
      <c r="I73">
        <v>252</v>
      </c>
      <c r="J73" s="5">
        <v>4.58E-2</v>
      </c>
      <c r="K73">
        <v>2179</v>
      </c>
      <c r="L73" s="5">
        <v>1.7899999999999999E-2</v>
      </c>
      <c r="M73">
        <v>31178</v>
      </c>
      <c r="N73">
        <v>27996</v>
      </c>
      <c r="O73">
        <v>3182</v>
      </c>
      <c r="P73" s="5">
        <v>0.10199999999999999</v>
      </c>
      <c r="Q73">
        <v>277603</v>
      </c>
      <c r="R73">
        <v>141643</v>
      </c>
      <c r="S73">
        <v>0.3</v>
      </c>
      <c r="T73" t="s">
        <v>24</v>
      </c>
      <c r="U73" t="s">
        <v>25</v>
      </c>
      <c r="V73" t="s">
        <v>26</v>
      </c>
      <c r="W73">
        <v>75</v>
      </c>
    </row>
    <row r="74" spans="1:23" x14ac:dyDescent="0.2">
      <c r="A74" t="s">
        <v>22</v>
      </c>
      <c r="B74" t="s">
        <v>54</v>
      </c>
      <c r="C74">
        <v>20</v>
      </c>
      <c r="D74" s="5">
        <v>8.0000000000000004E-4</v>
      </c>
      <c r="E74">
        <v>94</v>
      </c>
      <c r="F74" s="5">
        <v>0.1731</v>
      </c>
      <c r="G74">
        <v>0</v>
      </c>
      <c r="H74" s="5">
        <v>0</v>
      </c>
      <c r="I74">
        <v>0</v>
      </c>
      <c r="J74" s="5">
        <v>0</v>
      </c>
      <c r="K74">
        <v>0</v>
      </c>
      <c r="L74" s="5">
        <v>0</v>
      </c>
      <c r="M74">
        <v>252</v>
      </c>
      <c r="N74">
        <v>249</v>
      </c>
      <c r="O74">
        <v>3</v>
      </c>
      <c r="P74" s="5">
        <v>1.1900000000000001E-2</v>
      </c>
      <c r="Q74">
        <v>75784</v>
      </c>
      <c r="R74">
        <v>114</v>
      </c>
      <c r="T74" t="s">
        <v>33</v>
      </c>
      <c r="U74" t="s">
        <v>37</v>
      </c>
      <c r="V74" t="s">
        <v>38</v>
      </c>
      <c r="W74">
        <v>40</v>
      </c>
    </row>
    <row r="75" spans="1:23" x14ac:dyDescent="0.2">
      <c r="A75" t="s">
        <v>31</v>
      </c>
      <c r="B75" t="s">
        <v>54</v>
      </c>
      <c r="C75">
        <v>125</v>
      </c>
      <c r="D75" s="5">
        <v>3.0000000000000001E-3</v>
      </c>
      <c r="E75">
        <v>215</v>
      </c>
      <c r="F75" s="5">
        <v>0.23730000000000001</v>
      </c>
      <c r="G75">
        <v>1</v>
      </c>
      <c r="H75" s="5">
        <v>1E-4</v>
      </c>
      <c r="I75">
        <v>0</v>
      </c>
      <c r="J75" s="5">
        <v>0</v>
      </c>
      <c r="K75">
        <v>0</v>
      </c>
      <c r="L75" s="5">
        <v>0</v>
      </c>
      <c r="M75">
        <v>258</v>
      </c>
      <c r="N75">
        <v>258</v>
      </c>
      <c r="O75">
        <v>0</v>
      </c>
      <c r="P75" s="5">
        <v>0</v>
      </c>
      <c r="Q75">
        <v>98826</v>
      </c>
      <c r="R75">
        <v>341</v>
      </c>
      <c r="S75">
        <v>100</v>
      </c>
      <c r="T75" t="s">
        <v>36</v>
      </c>
      <c r="U75" t="s">
        <v>37</v>
      </c>
      <c r="V75" t="s">
        <v>30</v>
      </c>
      <c r="W75">
        <v>42</v>
      </c>
    </row>
    <row r="76" spans="1:23" x14ac:dyDescent="0.2">
      <c r="A76" t="s">
        <v>34</v>
      </c>
      <c r="B76" t="s">
        <v>54</v>
      </c>
      <c r="C76">
        <v>89</v>
      </c>
      <c r="D76" s="5">
        <v>4.4999999999999997E-3</v>
      </c>
      <c r="E76">
        <v>280</v>
      </c>
      <c r="F76" s="5">
        <v>0.4173</v>
      </c>
      <c r="G76">
        <v>30</v>
      </c>
      <c r="H76" s="5">
        <v>5.8999999999999999E-3</v>
      </c>
      <c r="I76">
        <v>0</v>
      </c>
      <c r="J76" s="5">
        <v>0</v>
      </c>
      <c r="K76">
        <v>0</v>
      </c>
      <c r="L76" s="5">
        <v>0</v>
      </c>
      <c r="M76">
        <v>248</v>
      </c>
      <c r="N76">
        <v>248</v>
      </c>
      <c r="O76">
        <v>0</v>
      </c>
      <c r="P76" s="5">
        <v>0</v>
      </c>
      <c r="Q76">
        <v>111853</v>
      </c>
      <c r="R76">
        <v>399</v>
      </c>
      <c r="S76">
        <v>9.33</v>
      </c>
      <c r="T76" t="s">
        <v>36</v>
      </c>
      <c r="U76" t="s">
        <v>29</v>
      </c>
      <c r="V76" t="s">
        <v>30</v>
      </c>
      <c r="W76">
        <v>57</v>
      </c>
    </row>
    <row r="77" spans="1:23" x14ac:dyDescent="0.2">
      <c r="A77" t="s">
        <v>39</v>
      </c>
      <c r="B77" t="s">
        <v>54</v>
      </c>
      <c r="C77">
        <v>326</v>
      </c>
      <c r="D77" s="5">
        <v>2.3699999999999999E-2</v>
      </c>
      <c r="E77">
        <v>542</v>
      </c>
      <c r="F77" s="5">
        <v>0.77429999999999999</v>
      </c>
      <c r="G77">
        <v>66</v>
      </c>
      <c r="H77" s="5">
        <v>2.0299999999999999E-2</v>
      </c>
      <c r="I77">
        <v>0</v>
      </c>
      <c r="J77" s="5">
        <v>0</v>
      </c>
      <c r="K77">
        <v>0</v>
      </c>
      <c r="L77" s="5">
        <v>0</v>
      </c>
      <c r="M77">
        <v>258</v>
      </c>
      <c r="N77">
        <v>248</v>
      </c>
      <c r="O77">
        <v>10</v>
      </c>
      <c r="P77" s="5">
        <v>3.7999999999999999E-2</v>
      </c>
      <c r="Q77">
        <v>0</v>
      </c>
      <c r="R77">
        <v>934</v>
      </c>
      <c r="S77">
        <v>8.2100000000000009</v>
      </c>
      <c r="T77" t="s">
        <v>36</v>
      </c>
      <c r="U77" t="s">
        <v>37</v>
      </c>
      <c r="V77" t="s">
        <v>38</v>
      </c>
      <c r="W77">
        <v>59</v>
      </c>
    </row>
    <row r="78" spans="1:23" x14ac:dyDescent="0.2">
      <c r="A78" t="s">
        <v>22</v>
      </c>
      <c r="B78" t="s">
        <v>55</v>
      </c>
      <c r="C78">
        <v>0</v>
      </c>
      <c r="D78" s="5">
        <v>0</v>
      </c>
      <c r="E78">
        <v>2</v>
      </c>
      <c r="F78" s="5">
        <v>5.3E-3</v>
      </c>
      <c r="G78">
        <v>3</v>
      </c>
      <c r="H78" s="5">
        <v>2.9999999999999997E-4</v>
      </c>
      <c r="I78">
        <v>0</v>
      </c>
      <c r="J78" s="5">
        <v>0</v>
      </c>
      <c r="K78">
        <v>0</v>
      </c>
      <c r="L78" s="5">
        <v>0</v>
      </c>
      <c r="M78">
        <v>384</v>
      </c>
      <c r="N78">
        <v>384</v>
      </c>
      <c r="O78">
        <v>0</v>
      </c>
      <c r="P78" s="5">
        <v>0</v>
      </c>
      <c r="Q78">
        <v>90751</v>
      </c>
      <c r="R78">
        <v>5</v>
      </c>
      <c r="S78">
        <v>0.67</v>
      </c>
      <c r="T78" t="s">
        <v>24</v>
      </c>
      <c r="U78" t="s">
        <v>37</v>
      </c>
      <c r="V78" t="s">
        <v>30</v>
      </c>
      <c r="W78">
        <v>42</v>
      </c>
    </row>
    <row r="79" spans="1:23" x14ac:dyDescent="0.2">
      <c r="A79" t="s">
        <v>31</v>
      </c>
      <c r="B79" t="s">
        <v>55</v>
      </c>
      <c r="C79">
        <v>22</v>
      </c>
      <c r="D79" s="5">
        <v>1.2999999999999999E-3</v>
      </c>
      <c r="E79">
        <v>9</v>
      </c>
      <c r="F79" s="5">
        <v>1.9300000000000001E-2</v>
      </c>
      <c r="G79">
        <v>11</v>
      </c>
      <c r="H79" s="5">
        <v>8.9999999999999998E-4</v>
      </c>
      <c r="I79">
        <v>0</v>
      </c>
      <c r="J79" s="5">
        <v>0</v>
      </c>
      <c r="K79">
        <v>0</v>
      </c>
      <c r="L79" s="5">
        <v>0</v>
      </c>
      <c r="M79">
        <v>408</v>
      </c>
      <c r="N79">
        <v>408</v>
      </c>
      <c r="O79">
        <v>0</v>
      </c>
      <c r="P79" s="5">
        <v>0</v>
      </c>
      <c r="Q79">
        <v>107971</v>
      </c>
      <c r="R79">
        <v>42</v>
      </c>
      <c r="S79">
        <v>0.82</v>
      </c>
      <c r="T79" t="s">
        <v>24</v>
      </c>
      <c r="U79" t="s">
        <v>29</v>
      </c>
      <c r="V79" t="s">
        <v>30</v>
      </c>
      <c r="W79">
        <v>44</v>
      </c>
    </row>
    <row r="80" spans="1:23" x14ac:dyDescent="0.2">
      <c r="A80" t="s">
        <v>34</v>
      </c>
      <c r="B80" t="s">
        <v>55</v>
      </c>
      <c r="C80">
        <v>72</v>
      </c>
      <c r="D80" s="5">
        <v>3.3999999999999998E-3</v>
      </c>
      <c r="E80">
        <v>19</v>
      </c>
      <c r="F80" s="5">
        <v>2.53E-2</v>
      </c>
      <c r="G80">
        <v>20</v>
      </c>
      <c r="H80" s="5">
        <v>1.4E-3</v>
      </c>
      <c r="I80">
        <v>0</v>
      </c>
      <c r="J80" s="5">
        <v>0</v>
      </c>
      <c r="K80">
        <v>2</v>
      </c>
      <c r="L80" s="5">
        <v>5.0000000000000001E-4</v>
      </c>
      <c r="M80">
        <v>404</v>
      </c>
      <c r="N80">
        <v>404</v>
      </c>
      <c r="O80">
        <v>0</v>
      </c>
      <c r="P80" s="5">
        <v>2.9999999999999997E-4</v>
      </c>
      <c r="Q80">
        <v>123896</v>
      </c>
      <c r="R80">
        <v>113</v>
      </c>
      <c r="S80">
        <v>0.95</v>
      </c>
      <c r="T80" t="s">
        <v>24</v>
      </c>
      <c r="U80" t="s">
        <v>29</v>
      </c>
      <c r="V80" t="s">
        <v>38</v>
      </c>
      <c r="W80">
        <v>47</v>
      </c>
    </row>
    <row r="81" spans="1:23" x14ac:dyDescent="0.2">
      <c r="A81" t="s">
        <v>39</v>
      </c>
      <c r="B81" t="s">
        <v>55</v>
      </c>
      <c r="C81">
        <v>65</v>
      </c>
      <c r="D81" s="5">
        <v>6.0000000000000001E-3</v>
      </c>
      <c r="E81">
        <v>277</v>
      </c>
      <c r="F81" s="5">
        <v>0.49640000000000001</v>
      </c>
      <c r="G81">
        <v>55</v>
      </c>
      <c r="H81" s="5">
        <v>8.9999999999999993E-3</v>
      </c>
      <c r="I81">
        <v>0</v>
      </c>
      <c r="J81" s="5">
        <v>0</v>
      </c>
      <c r="K81">
        <v>4</v>
      </c>
      <c r="L81" s="5">
        <v>2.8E-3</v>
      </c>
      <c r="M81">
        <v>405</v>
      </c>
      <c r="N81">
        <v>405</v>
      </c>
      <c r="O81">
        <v>0</v>
      </c>
      <c r="P81" s="5">
        <v>0</v>
      </c>
      <c r="Q81">
        <v>136948</v>
      </c>
      <c r="R81">
        <v>401</v>
      </c>
      <c r="S81">
        <v>5.04</v>
      </c>
      <c r="T81" t="s">
        <v>36</v>
      </c>
      <c r="U81" t="s">
        <v>29</v>
      </c>
      <c r="V81" t="s">
        <v>30</v>
      </c>
      <c r="W81">
        <v>67</v>
      </c>
    </row>
    <row r="82" spans="1:23" x14ac:dyDescent="0.2">
      <c r="A82" t="s">
        <v>22</v>
      </c>
      <c r="B82" t="s">
        <v>56</v>
      </c>
      <c r="C82">
        <v>0</v>
      </c>
      <c r="D82" s="5">
        <v>0</v>
      </c>
      <c r="E82">
        <v>0</v>
      </c>
      <c r="F82" s="5">
        <v>0</v>
      </c>
      <c r="G82">
        <v>0</v>
      </c>
      <c r="H82" s="5">
        <v>0</v>
      </c>
      <c r="I82">
        <v>0</v>
      </c>
      <c r="J82" s="5">
        <v>0</v>
      </c>
      <c r="K82">
        <v>0</v>
      </c>
      <c r="L82" s="5">
        <v>0</v>
      </c>
      <c r="M82">
        <v>132</v>
      </c>
      <c r="N82">
        <v>132</v>
      </c>
      <c r="O82">
        <v>0</v>
      </c>
      <c r="P82" s="5">
        <v>0</v>
      </c>
      <c r="Q82">
        <v>173521</v>
      </c>
      <c r="R82">
        <v>0</v>
      </c>
      <c r="T82" t="s">
        <v>33</v>
      </c>
      <c r="U82" t="s">
        <v>29</v>
      </c>
      <c r="V82" t="s">
        <v>30</v>
      </c>
      <c r="W82">
        <v>47</v>
      </c>
    </row>
    <row r="83" spans="1:23" x14ac:dyDescent="0.2">
      <c r="A83" t="s">
        <v>31</v>
      </c>
      <c r="B83" t="s">
        <v>56</v>
      </c>
      <c r="C83">
        <v>36</v>
      </c>
      <c r="D83" s="5">
        <v>1.8E-3</v>
      </c>
      <c r="E83">
        <v>0</v>
      </c>
      <c r="F83" s="5">
        <v>0</v>
      </c>
      <c r="G83">
        <v>0</v>
      </c>
      <c r="H83" s="5">
        <v>0</v>
      </c>
      <c r="I83">
        <v>0</v>
      </c>
      <c r="J83" s="5">
        <v>0</v>
      </c>
      <c r="K83">
        <v>0</v>
      </c>
      <c r="L83" s="5">
        <v>0</v>
      </c>
      <c r="M83">
        <v>169</v>
      </c>
      <c r="N83">
        <v>156</v>
      </c>
      <c r="O83">
        <v>13</v>
      </c>
      <c r="P83" s="5">
        <v>7.6899999999999996E-2</v>
      </c>
      <c r="Q83">
        <v>190965</v>
      </c>
      <c r="R83">
        <v>36</v>
      </c>
      <c r="T83" t="s">
        <v>33</v>
      </c>
      <c r="U83" t="s">
        <v>29</v>
      </c>
      <c r="V83" t="s">
        <v>26</v>
      </c>
      <c r="W83">
        <v>45</v>
      </c>
    </row>
    <row r="84" spans="1:23" x14ac:dyDescent="0.2">
      <c r="A84" t="s">
        <v>34</v>
      </c>
      <c r="B84" t="s">
        <v>56</v>
      </c>
      <c r="C84">
        <v>166</v>
      </c>
      <c r="D84" s="5">
        <v>7.9000000000000008E-3</v>
      </c>
      <c r="E84">
        <v>0</v>
      </c>
      <c r="F84" s="5">
        <v>0</v>
      </c>
      <c r="G84">
        <v>0</v>
      </c>
      <c r="H84" s="5">
        <v>0</v>
      </c>
      <c r="I84">
        <v>0</v>
      </c>
      <c r="J84" s="5">
        <v>0</v>
      </c>
      <c r="K84">
        <v>0</v>
      </c>
      <c r="L84" s="5">
        <v>0</v>
      </c>
      <c r="M84">
        <v>159</v>
      </c>
      <c r="N84">
        <v>159</v>
      </c>
      <c r="O84">
        <v>0</v>
      </c>
      <c r="P84" s="5">
        <v>0</v>
      </c>
      <c r="Q84">
        <v>215144</v>
      </c>
      <c r="R84">
        <v>166</v>
      </c>
      <c r="T84" t="s">
        <v>33</v>
      </c>
      <c r="U84" t="s">
        <v>25</v>
      </c>
      <c r="V84" t="s">
        <v>30</v>
      </c>
      <c r="W84">
        <v>49</v>
      </c>
    </row>
    <row r="85" spans="1:23" x14ac:dyDescent="0.2">
      <c r="A85" t="s">
        <v>39</v>
      </c>
      <c r="B85" t="s">
        <v>56</v>
      </c>
      <c r="C85">
        <v>506</v>
      </c>
      <c r="D85" s="5">
        <v>4.4999999999999998E-2</v>
      </c>
      <c r="E85">
        <v>0</v>
      </c>
      <c r="F85" s="5">
        <v>0</v>
      </c>
      <c r="G85">
        <v>10</v>
      </c>
      <c r="H85" s="5">
        <v>4.7000000000000002E-3</v>
      </c>
      <c r="I85">
        <v>0</v>
      </c>
      <c r="J85" s="5">
        <v>0</v>
      </c>
      <c r="K85">
        <v>0</v>
      </c>
      <c r="L85" s="5">
        <v>0</v>
      </c>
      <c r="M85">
        <v>162</v>
      </c>
      <c r="N85">
        <v>162</v>
      </c>
      <c r="O85">
        <v>0</v>
      </c>
      <c r="P85" s="5">
        <v>0</v>
      </c>
      <c r="Q85">
        <v>0</v>
      </c>
      <c r="R85">
        <v>516</v>
      </c>
      <c r="S85">
        <v>0</v>
      </c>
      <c r="T85" t="s">
        <v>24</v>
      </c>
      <c r="U85" t="s">
        <v>37</v>
      </c>
      <c r="V85" t="s">
        <v>30</v>
      </c>
      <c r="W85">
        <v>47</v>
      </c>
    </row>
    <row r="86" spans="1:23" x14ac:dyDescent="0.2">
      <c r="A86" t="s">
        <v>22</v>
      </c>
      <c r="B86" t="s">
        <v>57</v>
      </c>
      <c r="C86">
        <v>2</v>
      </c>
      <c r="D86" s="5">
        <v>2.9999999999999997E-4</v>
      </c>
      <c r="E86">
        <v>0</v>
      </c>
      <c r="F86" s="5">
        <v>0</v>
      </c>
      <c r="G86">
        <v>0</v>
      </c>
      <c r="H86" s="5">
        <v>0</v>
      </c>
      <c r="I86">
        <v>0</v>
      </c>
      <c r="J86" s="5">
        <v>0</v>
      </c>
      <c r="K86">
        <v>0</v>
      </c>
      <c r="L86" s="5">
        <v>0</v>
      </c>
      <c r="M86">
        <v>160</v>
      </c>
      <c r="N86">
        <v>155</v>
      </c>
      <c r="O86">
        <v>5</v>
      </c>
      <c r="P86" s="5">
        <v>3.1199999999999999E-2</v>
      </c>
      <c r="Q86">
        <v>119781</v>
      </c>
      <c r="R86">
        <v>2</v>
      </c>
      <c r="T86" t="s">
        <v>33</v>
      </c>
      <c r="U86" t="s">
        <v>29</v>
      </c>
      <c r="V86" t="s">
        <v>38</v>
      </c>
      <c r="W86">
        <v>42</v>
      </c>
    </row>
    <row r="87" spans="1:23" x14ac:dyDescent="0.2">
      <c r="A87" t="s">
        <v>31</v>
      </c>
      <c r="B87" t="s">
        <v>57</v>
      </c>
      <c r="C87">
        <v>3</v>
      </c>
      <c r="D87" s="5">
        <v>5.0000000000000001E-4</v>
      </c>
      <c r="E87">
        <v>0</v>
      </c>
      <c r="F87" s="5">
        <v>0</v>
      </c>
      <c r="G87">
        <v>0</v>
      </c>
      <c r="H87" s="5">
        <v>0</v>
      </c>
      <c r="I87">
        <v>0</v>
      </c>
      <c r="J87" s="5">
        <v>0</v>
      </c>
      <c r="K87">
        <v>0</v>
      </c>
      <c r="L87" s="5">
        <v>0</v>
      </c>
      <c r="M87">
        <v>173</v>
      </c>
      <c r="N87">
        <v>153</v>
      </c>
      <c r="O87">
        <v>20</v>
      </c>
      <c r="P87" s="5">
        <v>0.11559999999999999</v>
      </c>
      <c r="Q87">
        <v>127225</v>
      </c>
      <c r="R87">
        <v>3</v>
      </c>
      <c r="T87" t="s">
        <v>33</v>
      </c>
      <c r="U87" t="s">
        <v>29</v>
      </c>
      <c r="V87" t="s">
        <v>26</v>
      </c>
      <c r="W87">
        <v>39</v>
      </c>
    </row>
    <row r="88" spans="1:23" x14ac:dyDescent="0.2">
      <c r="A88" t="s">
        <v>34</v>
      </c>
      <c r="B88" t="s">
        <v>57</v>
      </c>
      <c r="C88">
        <v>3</v>
      </c>
      <c r="D88" s="5">
        <v>5.0000000000000001E-4</v>
      </c>
      <c r="E88">
        <v>0</v>
      </c>
      <c r="F88" s="5">
        <v>0</v>
      </c>
      <c r="G88">
        <v>3</v>
      </c>
      <c r="H88" s="5">
        <v>2.9999999999999997E-4</v>
      </c>
      <c r="I88">
        <v>0</v>
      </c>
      <c r="J88" s="5">
        <v>0</v>
      </c>
      <c r="K88">
        <v>0</v>
      </c>
      <c r="L88" s="5">
        <v>0</v>
      </c>
      <c r="M88">
        <v>168</v>
      </c>
      <c r="N88">
        <v>167</v>
      </c>
      <c r="O88">
        <v>1</v>
      </c>
      <c r="P88" s="5">
        <v>4.7999999999999996E-3</v>
      </c>
      <c r="Q88">
        <v>145537</v>
      </c>
      <c r="R88">
        <v>6</v>
      </c>
      <c r="S88">
        <v>0</v>
      </c>
      <c r="T88" t="s">
        <v>24</v>
      </c>
      <c r="U88" t="s">
        <v>29</v>
      </c>
      <c r="V88" t="s">
        <v>38</v>
      </c>
      <c r="W88">
        <v>45</v>
      </c>
    </row>
    <row r="89" spans="1:23" x14ac:dyDescent="0.2">
      <c r="A89" t="s">
        <v>39</v>
      </c>
      <c r="B89" t="s">
        <v>57</v>
      </c>
      <c r="C89">
        <v>7</v>
      </c>
      <c r="D89" s="5">
        <v>2.3E-3</v>
      </c>
      <c r="E89">
        <v>0</v>
      </c>
      <c r="F89" s="5">
        <v>0</v>
      </c>
      <c r="G89">
        <v>8</v>
      </c>
      <c r="H89" s="5">
        <v>2E-3</v>
      </c>
      <c r="I89">
        <v>0</v>
      </c>
      <c r="J89" s="5">
        <v>0</v>
      </c>
      <c r="K89">
        <v>0</v>
      </c>
      <c r="L89" s="5">
        <v>0</v>
      </c>
      <c r="M89">
        <v>174</v>
      </c>
      <c r="N89">
        <v>174</v>
      </c>
      <c r="O89">
        <v>0</v>
      </c>
      <c r="P89" s="5">
        <v>1E-3</v>
      </c>
      <c r="Q89">
        <v>0</v>
      </c>
      <c r="R89">
        <v>15</v>
      </c>
      <c r="S89">
        <v>0</v>
      </c>
      <c r="T89" t="s">
        <v>24</v>
      </c>
      <c r="U89" t="s">
        <v>37</v>
      </c>
      <c r="V89" t="s">
        <v>38</v>
      </c>
      <c r="W89">
        <v>40</v>
      </c>
    </row>
    <row r="90" spans="1:23" x14ac:dyDescent="0.2">
      <c r="A90" t="s">
        <v>22</v>
      </c>
      <c r="B90" t="s">
        <v>58</v>
      </c>
      <c r="C90">
        <v>4944</v>
      </c>
      <c r="D90" s="5">
        <v>1.1599999999999999E-2</v>
      </c>
      <c r="E90">
        <v>623</v>
      </c>
      <c r="F90" s="5">
        <v>8.4599999999999995E-2</v>
      </c>
      <c r="G90">
        <v>60</v>
      </c>
      <c r="H90" s="5">
        <v>1E-3</v>
      </c>
      <c r="I90">
        <v>0</v>
      </c>
      <c r="J90" s="5">
        <v>0</v>
      </c>
      <c r="K90">
        <v>0</v>
      </c>
      <c r="L90" s="5">
        <v>0</v>
      </c>
      <c r="M90">
        <v>4984</v>
      </c>
      <c r="N90">
        <v>4984</v>
      </c>
      <c r="O90">
        <v>1</v>
      </c>
      <c r="P90" s="5">
        <v>2.0000000000000001E-4</v>
      </c>
      <c r="Q90">
        <v>103211</v>
      </c>
      <c r="R90">
        <v>5627</v>
      </c>
      <c r="S90">
        <v>10.38</v>
      </c>
      <c r="T90" t="s">
        <v>36</v>
      </c>
      <c r="U90" t="s">
        <v>29</v>
      </c>
      <c r="V90" t="s">
        <v>38</v>
      </c>
      <c r="W90">
        <v>44</v>
      </c>
    </row>
    <row r="91" spans="1:23" x14ac:dyDescent="0.2">
      <c r="A91" t="s">
        <v>31</v>
      </c>
      <c r="B91" t="s">
        <v>58</v>
      </c>
      <c r="C91">
        <v>25721</v>
      </c>
      <c r="D91" s="5">
        <v>5.0900000000000001E-2</v>
      </c>
      <c r="E91">
        <v>2253</v>
      </c>
      <c r="F91" s="5">
        <v>0.20699999999999999</v>
      </c>
      <c r="G91">
        <v>438</v>
      </c>
      <c r="H91" s="5">
        <v>6.1999999999999998E-3</v>
      </c>
      <c r="I91">
        <v>30</v>
      </c>
      <c r="J91" s="5">
        <v>1.9400000000000001E-2</v>
      </c>
      <c r="K91">
        <v>2</v>
      </c>
      <c r="L91" s="5">
        <v>0</v>
      </c>
      <c r="M91">
        <v>5643</v>
      </c>
      <c r="N91">
        <v>5643</v>
      </c>
      <c r="O91">
        <v>0</v>
      </c>
      <c r="P91" s="5">
        <v>0</v>
      </c>
      <c r="Q91">
        <v>134091</v>
      </c>
      <c r="R91">
        <v>28444</v>
      </c>
      <c r="S91">
        <v>5.14</v>
      </c>
      <c r="T91" t="s">
        <v>36</v>
      </c>
      <c r="U91" t="s">
        <v>29</v>
      </c>
      <c r="V91" t="s">
        <v>30</v>
      </c>
      <c r="W91">
        <v>59</v>
      </c>
    </row>
    <row r="92" spans="1:23" x14ac:dyDescent="0.2">
      <c r="A92" t="s">
        <v>34</v>
      </c>
      <c r="B92" t="s">
        <v>58</v>
      </c>
      <c r="C92">
        <v>38351</v>
      </c>
      <c r="D92" s="5">
        <v>6.5500000000000003E-2</v>
      </c>
      <c r="E92">
        <v>4767</v>
      </c>
      <c r="F92" s="5">
        <v>0.24979999999999999</v>
      </c>
      <c r="G92">
        <v>1337</v>
      </c>
      <c r="H92" s="5">
        <v>1.7500000000000002E-2</v>
      </c>
      <c r="I92">
        <v>21</v>
      </c>
      <c r="J92" s="5">
        <v>7.4000000000000003E-3</v>
      </c>
      <c r="K92">
        <v>76</v>
      </c>
      <c r="L92" s="5">
        <v>1.2999999999999999E-3</v>
      </c>
      <c r="M92">
        <v>6566</v>
      </c>
      <c r="N92">
        <v>6391</v>
      </c>
      <c r="O92">
        <v>175</v>
      </c>
      <c r="P92" s="5">
        <v>2.6700000000000002E-2</v>
      </c>
      <c r="Q92">
        <v>143768</v>
      </c>
      <c r="R92">
        <v>44552</v>
      </c>
      <c r="S92">
        <v>3.57</v>
      </c>
      <c r="T92" t="s">
        <v>28</v>
      </c>
      <c r="U92" t="s">
        <v>29</v>
      </c>
      <c r="V92" t="s">
        <v>38</v>
      </c>
      <c r="W92">
        <v>69</v>
      </c>
    </row>
    <row r="93" spans="1:23" x14ac:dyDescent="0.2">
      <c r="A93" t="s">
        <v>39</v>
      </c>
      <c r="B93" t="s">
        <v>58</v>
      </c>
      <c r="C93">
        <v>49167</v>
      </c>
      <c r="D93" s="5">
        <v>0.13789999999999999</v>
      </c>
      <c r="E93">
        <v>3442</v>
      </c>
      <c r="F93" s="5">
        <v>0.25650000000000001</v>
      </c>
      <c r="G93">
        <v>3057</v>
      </c>
      <c r="H93" s="5">
        <v>7.6200000000000004E-2</v>
      </c>
      <c r="I93">
        <v>86</v>
      </c>
      <c r="J93" s="5">
        <v>5.8799999999999998E-2</v>
      </c>
      <c r="K93">
        <v>444</v>
      </c>
      <c r="L93" s="5">
        <v>1.5699999999999999E-2</v>
      </c>
      <c r="M93">
        <v>6443</v>
      </c>
      <c r="N93">
        <v>6443</v>
      </c>
      <c r="O93">
        <v>0</v>
      </c>
      <c r="P93" s="5">
        <v>0</v>
      </c>
      <c r="Q93">
        <v>163101</v>
      </c>
      <c r="R93">
        <v>56196</v>
      </c>
      <c r="S93">
        <v>1.1299999999999999</v>
      </c>
      <c r="T93" t="s">
        <v>24</v>
      </c>
      <c r="U93" t="s">
        <v>29</v>
      </c>
      <c r="V93" t="s">
        <v>30</v>
      </c>
      <c r="W93">
        <v>71</v>
      </c>
    </row>
    <row r="94" spans="1:23" x14ac:dyDescent="0.2">
      <c r="A94" t="s">
        <v>22</v>
      </c>
      <c r="B94" t="s">
        <v>59</v>
      </c>
      <c r="C94">
        <v>392</v>
      </c>
      <c r="D94" s="5">
        <v>1.06E-2</v>
      </c>
      <c r="E94">
        <v>4</v>
      </c>
      <c r="F94" s="5">
        <v>4.7100000000000003E-2</v>
      </c>
      <c r="G94">
        <v>9</v>
      </c>
      <c r="H94" s="5">
        <v>1.1999999999999999E-3</v>
      </c>
      <c r="I94">
        <v>0</v>
      </c>
      <c r="J94" s="5">
        <v>0</v>
      </c>
      <c r="K94">
        <v>0</v>
      </c>
      <c r="L94" s="5">
        <v>0</v>
      </c>
      <c r="M94">
        <v>429</v>
      </c>
      <c r="N94">
        <v>429</v>
      </c>
      <c r="O94">
        <v>0</v>
      </c>
      <c r="P94" s="5">
        <v>0</v>
      </c>
      <c r="Q94">
        <v>208862</v>
      </c>
      <c r="R94">
        <v>405</v>
      </c>
      <c r="S94">
        <v>0.44</v>
      </c>
      <c r="T94" t="s">
        <v>24</v>
      </c>
      <c r="U94" t="s">
        <v>25</v>
      </c>
      <c r="V94" t="s">
        <v>30</v>
      </c>
      <c r="W94">
        <v>52</v>
      </c>
    </row>
    <row r="95" spans="1:23" x14ac:dyDescent="0.2">
      <c r="A95" t="s">
        <v>31</v>
      </c>
      <c r="B95" t="s">
        <v>59</v>
      </c>
      <c r="C95">
        <v>1410</v>
      </c>
      <c r="D95" s="5">
        <v>3.4599999999999999E-2</v>
      </c>
      <c r="E95">
        <v>25</v>
      </c>
      <c r="F95" s="5">
        <v>0.26319999999999999</v>
      </c>
      <c r="G95">
        <v>44</v>
      </c>
      <c r="H95" s="5">
        <v>4.8999999999999998E-3</v>
      </c>
      <c r="I95">
        <v>0</v>
      </c>
      <c r="J95" s="5">
        <v>0</v>
      </c>
      <c r="K95">
        <v>2</v>
      </c>
      <c r="L95" s="5">
        <v>3.3999999999999998E-3</v>
      </c>
      <c r="M95">
        <v>469</v>
      </c>
      <c r="N95">
        <v>467</v>
      </c>
      <c r="O95">
        <v>2</v>
      </c>
      <c r="P95" s="5">
        <v>4.3E-3</v>
      </c>
      <c r="Q95">
        <v>231557</v>
      </c>
      <c r="R95">
        <v>1481</v>
      </c>
      <c r="S95">
        <v>0.56999999999999995</v>
      </c>
      <c r="T95" t="s">
        <v>24</v>
      </c>
      <c r="U95" t="s">
        <v>25</v>
      </c>
      <c r="V95" t="s">
        <v>38</v>
      </c>
      <c r="W95">
        <v>63</v>
      </c>
    </row>
    <row r="96" spans="1:23" x14ac:dyDescent="0.2">
      <c r="A96" t="s">
        <v>34</v>
      </c>
      <c r="B96" t="s">
        <v>59</v>
      </c>
      <c r="C96">
        <v>2451</v>
      </c>
      <c r="D96" s="5">
        <v>5.6399999999999999E-2</v>
      </c>
      <c r="E96">
        <v>92</v>
      </c>
      <c r="F96" s="5">
        <v>0.53490000000000004</v>
      </c>
      <c r="G96">
        <v>90</v>
      </c>
      <c r="H96" s="5">
        <v>8.3000000000000001E-3</v>
      </c>
      <c r="I96">
        <v>0</v>
      </c>
      <c r="J96" s="5">
        <v>0</v>
      </c>
      <c r="K96">
        <v>4</v>
      </c>
      <c r="L96" s="5">
        <v>5.5999999999999999E-3</v>
      </c>
      <c r="M96">
        <v>501</v>
      </c>
      <c r="N96">
        <v>501</v>
      </c>
      <c r="O96">
        <v>0</v>
      </c>
      <c r="P96" s="5">
        <v>0</v>
      </c>
      <c r="Q96">
        <v>245180</v>
      </c>
      <c r="R96">
        <v>2637</v>
      </c>
      <c r="S96">
        <v>1.02</v>
      </c>
      <c r="T96" t="s">
        <v>24</v>
      </c>
      <c r="U96" t="s">
        <v>25</v>
      </c>
      <c r="V96" t="s">
        <v>30</v>
      </c>
      <c r="W96">
        <v>72</v>
      </c>
    </row>
    <row r="97" spans="1:23" x14ac:dyDescent="0.2">
      <c r="A97" t="s">
        <v>39</v>
      </c>
      <c r="B97" t="s">
        <v>59</v>
      </c>
      <c r="C97">
        <v>2867</v>
      </c>
      <c r="D97" s="5">
        <v>9.7199999999999995E-2</v>
      </c>
      <c r="E97">
        <v>207</v>
      </c>
      <c r="F97" s="5">
        <v>0.65300000000000002</v>
      </c>
      <c r="G97">
        <v>85</v>
      </c>
      <c r="H97" s="5">
        <v>1.1599999999999999E-2</v>
      </c>
      <c r="I97">
        <v>16</v>
      </c>
      <c r="J97" s="5">
        <v>8.5099999999999995E-2</v>
      </c>
      <c r="K97">
        <v>2</v>
      </c>
      <c r="L97" s="5">
        <v>5.3E-3</v>
      </c>
      <c r="M97">
        <v>524</v>
      </c>
      <c r="N97">
        <v>524</v>
      </c>
      <c r="O97">
        <v>0</v>
      </c>
      <c r="P97" s="5">
        <v>0</v>
      </c>
      <c r="Q97">
        <v>262166</v>
      </c>
      <c r="R97">
        <v>3177</v>
      </c>
      <c r="S97">
        <v>2.44</v>
      </c>
      <c r="T97" t="s">
        <v>28</v>
      </c>
      <c r="U97" t="s">
        <v>25</v>
      </c>
      <c r="V97" t="s">
        <v>30</v>
      </c>
      <c r="W97">
        <v>77</v>
      </c>
    </row>
    <row r="98" spans="1:23" x14ac:dyDescent="0.2">
      <c r="A98" t="s">
        <v>22</v>
      </c>
      <c r="B98" t="s">
        <v>60</v>
      </c>
      <c r="C98">
        <v>3271</v>
      </c>
      <c r="D98" s="5">
        <v>9.1000000000000004E-3</v>
      </c>
      <c r="E98">
        <v>1335</v>
      </c>
      <c r="F98" s="5">
        <v>0.36880000000000002</v>
      </c>
      <c r="G98">
        <v>33</v>
      </c>
      <c r="H98" s="5">
        <v>2.9999999999999997E-4</v>
      </c>
      <c r="I98">
        <v>0</v>
      </c>
      <c r="J98" s="5">
        <v>0</v>
      </c>
      <c r="K98">
        <v>4</v>
      </c>
      <c r="L98" s="5">
        <v>1E-4</v>
      </c>
      <c r="M98">
        <v>13148</v>
      </c>
      <c r="N98">
        <v>13148</v>
      </c>
      <c r="O98">
        <v>0</v>
      </c>
      <c r="P98" s="5">
        <v>0</v>
      </c>
      <c r="Q98">
        <v>150620</v>
      </c>
      <c r="R98">
        <v>4643</v>
      </c>
      <c r="S98">
        <v>40.450000000000003</v>
      </c>
      <c r="T98" t="s">
        <v>36</v>
      </c>
      <c r="U98" t="s">
        <v>29</v>
      </c>
      <c r="V98" t="s">
        <v>30</v>
      </c>
      <c r="W98">
        <v>46</v>
      </c>
    </row>
    <row r="99" spans="1:23" x14ac:dyDescent="0.2">
      <c r="A99" t="s">
        <v>31</v>
      </c>
      <c r="B99" t="s">
        <v>60</v>
      </c>
      <c r="C99">
        <v>7610</v>
      </c>
      <c r="D99" s="5">
        <v>0.02</v>
      </c>
      <c r="E99">
        <v>6383</v>
      </c>
      <c r="F99" s="5">
        <v>0.66520000000000001</v>
      </c>
      <c r="G99">
        <v>42</v>
      </c>
      <c r="H99" s="5">
        <v>2.9999999999999997E-4</v>
      </c>
      <c r="I99">
        <v>0</v>
      </c>
      <c r="J99" s="5">
        <v>0</v>
      </c>
      <c r="K99">
        <v>19</v>
      </c>
      <c r="L99" s="5">
        <v>4.0000000000000002E-4</v>
      </c>
      <c r="M99">
        <v>13556</v>
      </c>
      <c r="N99">
        <v>13431</v>
      </c>
      <c r="O99">
        <v>125</v>
      </c>
      <c r="P99" s="5">
        <v>9.1999999999999998E-3</v>
      </c>
      <c r="Q99">
        <v>170276</v>
      </c>
      <c r="R99">
        <v>14054</v>
      </c>
      <c r="S99">
        <v>100</v>
      </c>
      <c r="T99" t="s">
        <v>36</v>
      </c>
      <c r="U99" t="s">
        <v>29</v>
      </c>
      <c r="V99" t="s">
        <v>38</v>
      </c>
      <c r="W99">
        <v>47</v>
      </c>
    </row>
    <row r="100" spans="1:23" x14ac:dyDescent="0.2">
      <c r="A100" t="s">
        <v>34</v>
      </c>
      <c r="B100" t="s">
        <v>60</v>
      </c>
      <c r="C100">
        <v>8753</v>
      </c>
      <c r="D100" s="5">
        <v>2.0500000000000001E-2</v>
      </c>
      <c r="E100">
        <v>16114</v>
      </c>
      <c r="F100" s="5">
        <v>0.7853</v>
      </c>
      <c r="G100">
        <v>780</v>
      </c>
      <c r="H100" s="5">
        <v>5.5999999999999999E-3</v>
      </c>
      <c r="I100">
        <v>0</v>
      </c>
      <c r="J100" s="5">
        <v>0</v>
      </c>
      <c r="K100">
        <v>94</v>
      </c>
      <c r="L100" s="5">
        <v>1.8E-3</v>
      </c>
      <c r="M100">
        <v>14311</v>
      </c>
      <c r="N100">
        <v>14311</v>
      </c>
      <c r="O100">
        <v>0</v>
      </c>
      <c r="P100" s="5">
        <v>0</v>
      </c>
      <c r="Q100">
        <v>181678</v>
      </c>
      <c r="R100">
        <v>25741</v>
      </c>
      <c r="S100">
        <v>20.66</v>
      </c>
      <c r="T100" t="s">
        <v>36</v>
      </c>
      <c r="U100" t="s">
        <v>29</v>
      </c>
      <c r="V100" t="s">
        <v>30</v>
      </c>
      <c r="W100">
        <v>61</v>
      </c>
    </row>
    <row r="101" spans="1:23" x14ac:dyDescent="0.2">
      <c r="A101" t="s">
        <v>39</v>
      </c>
      <c r="B101" t="s">
        <v>60</v>
      </c>
      <c r="C101">
        <v>13453</v>
      </c>
      <c r="D101" s="5">
        <v>5.9200000000000003E-2</v>
      </c>
      <c r="E101">
        <v>6201</v>
      </c>
      <c r="F101" s="5">
        <v>0.80059999999999998</v>
      </c>
      <c r="G101">
        <v>2533</v>
      </c>
      <c r="H101" s="5">
        <v>2.8000000000000001E-2</v>
      </c>
      <c r="I101">
        <v>0</v>
      </c>
      <c r="J101" s="5">
        <v>0</v>
      </c>
      <c r="K101">
        <v>141</v>
      </c>
      <c r="L101" s="5">
        <v>4.0000000000000001E-3</v>
      </c>
      <c r="M101">
        <v>15293</v>
      </c>
      <c r="N101">
        <v>15293</v>
      </c>
      <c r="O101">
        <v>0</v>
      </c>
      <c r="P101" s="5">
        <v>0</v>
      </c>
      <c r="Q101">
        <v>196505</v>
      </c>
      <c r="R101">
        <v>22328</v>
      </c>
      <c r="S101">
        <v>2.4500000000000002</v>
      </c>
      <c r="T101" t="s">
        <v>28</v>
      </c>
      <c r="U101" t="s">
        <v>29</v>
      </c>
      <c r="V101" t="s">
        <v>30</v>
      </c>
      <c r="W101">
        <v>73</v>
      </c>
    </row>
    <row r="102" spans="1:23" x14ac:dyDescent="0.2">
      <c r="A102" t="s">
        <v>22</v>
      </c>
      <c r="B102" t="s">
        <v>61</v>
      </c>
      <c r="C102">
        <v>13960</v>
      </c>
      <c r="D102" s="5">
        <v>1.84E-2</v>
      </c>
      <c r="E102">
        <v>8936</v>
      </c>
      <c r="F102" s="5">
        <v>0.53939999999999999</v>
      </c>
      <c r="G102">
        <v>554</v>
      </c>
      <c r="H102" s="5">
        <v>3.7000000000000002E-3</v>
      </c>
      <c r="I102">
        <v>0</v>
      </c>
      <c r="J102" s="5">
        <v>0</v>
      </c>
      <c r="K102">
        <v>12</v>
      </c>
      <c r="L102" s="5">
        <v>1E-4</v>
      </c>
      <c r="M102">
        <v>14441</v>
      </c>
      <c r="N102">
        <v>14441</v>
      </c>
      <c r="O102">
        <v>0</v>
      </c>
      <c r="P102" s="5">
        <v>0</v>
      </c>
      <c r="Q102">
        <v>114925</v>
      </c>
      <c r="R102">
        <v>23462</v>
      </c>
      <c r="S102">
        <v>16.13</v>
      </c>
      <c r="T102" t="s">
        <v>36</v>
      </c>
      <c r="U102" t="s">
        <v>29</v>
      </c>
      <c r="V102" t="s">
        <v>30</v>
      </c>
      <c r="W102">
        <v>52</v>
      </c>
    </row>
    <row r="103" spans="1:23" x14ac:dyDescent="0.2">
      <c r="A103" t="s">
        <v>31</v>
      </c>
      <c r="B103" t="s">
        <v>61</v>
      </c>
      <c r="C103">
        <v>54132</v>
      </c>
      <c r="D103" s="5">
        <v>6.0400000000000002E-2</v>
      </c>
      <c r="E103">
        <v>22633</v>
      </c>
      <c r="F103" s="5">
        <v>0.63859999999999995</v>
      </c>
      <c r="G103">
        <v>1468</v>
      </c>
      <c r="H103" s="5">
        <v>8.3000000000000001E-3</v>
      </c>
      <c r="I103">
        <v>5</v>
      </c>
      <c r="J103" s="5">
        <v>2.8E-3</v>
      </c>
      <c r="K103">
        <v>2</v>
      </c>
      <c r="L103" s="5">
        <v>0</v>
      </c>
      <c r="M103">
        <v>15784</v>
      </c>
      <c r="N103">
        <v>15784</v>
      </c>
      <c r="O103">
        <v>0</v>
      </c>
      <c r="P103" s="5">
        <v>0</v>
      </c>
      <c r="Q103">
        <v>134060</v>
      </c>
      <c r="R103">
        <v>78240</v>
      </c>
      <c r="S103">
        <v>15.42</v>
      </c>
      <c r="T103" t="s">
        <v>36</v>
      </c>
      <c r="U103" t="s">
        <v>29</v>
      </c>
      <c r="V103" t="s">
        <v>30</v>
      </c>
      <c r="W103">
        <v>65</v>
      </c>
    </row>
    <row r="104" spans="1:23" x14ac:dyDescent="0.2">
      <c r="A104" t="s">
        <v>34</v>
      </c>
      <c r="B104" t="s">
        <v>61</v>
      </c>
      <c r="C104">
        <v>59470</v>
      </c>
      <c r="D104" s="5">
        <v>5.6300000000000003E-2</v>
      </c>
      <c r="E104">
        <v>29732</v>
      </c>
      <c r="F104" s="5">
        <v>0.60009999999999997</v>
      </c>
      <c r="G104">
        <v>4490</v>
      </c>
      <c r="H104" s="5">
        <v>2.2499999999999999E-2</v>
      </c>
      <c r="I104">
        <v>6</v>
      </c>
      <c r="J104" s="5">
        <v>1.8E-3</v>
      </c>
      <c r="K104">
        <v>120</v>
      </c>
      <c r="L104" s="5">
        <v>5.9999999999999995E-4</v>
      </c>
      <c r="M104">
        <v>17399</v>
      </c>
      <c r="N104">
        <v>17206</v>
      </c>
      <c r="O104">
        <v>193</v>
      </c>
      <c r="P104" s="5">
        <v>1.11E-2</v>
      </c>
      <c r="Q104">
        <v>150653</v>
      </c>
      <c r="R104">
        <v>93818</v>
      </c>
      <c r="S104">
        <v>6.62</v>
      </c>
      <c r="T104" t="s">
        <v>36</v>
      </c>
      <c r="U104" t="s">
        <v>29</v>
      </c>
      <c r="V104" t="s">
        <v>38</v>
      </c>
      <c r="W104">
        <v>70</v>
      </c>
    </row>
    <row r="105" spans="1:23" x14ac:dyDescent="0.2">
      <c r="A105" t="s">
        <v>39</v>
      </c>
      <c r="B105" t="s">
        <v>61</v>
      </c>
      <c r="C105">
        <v>42162</v>
      </c>
      <c r="D105" s="5">
        <v>8.7499999999999994E-2</v>
      </c>
      <c r="E105">
        <v>11099</v>
      </c>
      <c r="F105" s="5">
        <v>0.52170000000000005</v>
      </c>
      <c r="G105">
        <v>8451</v>
      </c>
      <c r="H105" s="5">
        <v>6.6699999999999995E-2</v>
      </c>
      <c r="I105">
        <v>7</v>
      </c>
      <c r="J105" s="5">
        <v>3.3E-3</v>
      </c>
      <c r="K105">
        <v>1062</v>
      </c>
      <c r="L105" s="5">
        <v>1.0200000000000001E-2</v>
      </c>
      <c r="M105">
        <v>18128</v>
      </c>
      <c r="N105">
        <v>18128</v>
      </c>
      <c r="O105">
        <v>0</v>
      </c>
      <c r="P105" s="5">
        <v>0</v>
      </c>
      <c r="Q105">
        <v>167964</v>
      </c>
      <c r="R105">
        <v>62781</v>
      </c>
      <c r="S105">
        <v>1.31</v>
      </c>
      <c r="T105" t="s">
        <v>24</v>
      </c>
      <c r="U105" t="s">
        <v>29</v>
      </c>
      <c r="V105" t="s">
        <v>30</v>
      </c>
      <c r="W105">
        <v>71</v>
      </c>
    </row>
    <row r="106" spans="1:23" x14ac:dyDescent="0.2">
      <c r="A106" t="s">
        <v>22</v>
      </c>
      <c r="B106" t="s">
        <v>62</v>
      </c>
      <c r="C106">
        <v>0</v>
      </c>
      <c r="D106" s="5">
        <v>0</v>
      </c>
      <c r="E106">
        <v>0</v>
      </c>
      <c r="F106" s="5">
        <v>0</v>
      </c>
      <c r="G106">
        <v>0</v>
      </c>
      <c r="H106" s="5">
        <v>0</v>
      </c>
      <c r="I106">
        <v>0</v>
      </c>
      <c r="J106" s="5">
        <v>0</v>
      </c>
      <c r="K106">
        <v>0</v>
      </c>
      <c r="L106" s="5">
        <v>0</v>
      </c>
      <c r="M106">
        <v>120</v>
      </c>
      <c r="N106">
        <v>120</v>
      </c>
      <c r="O106">
        <v>0</v>
      </c>
      <c r="P106" s="5">
        <v>0</v>
      </c>
      <c r="Q106">
        <v>415045</v>
      </c>
      <c r="R106">
        <v>0</v>
      </c>
      <c r="T106" t="s">
        <v>33</v>
      </c>
      <c r="U106" t="s">
        <v>25</v>
      </c>
      <c r="V106" t="s">
        <v>30</v>
      </c>
      <c r="W106">
        <v>63</v>
      </c>
    </row>
    <row r="107" spans="1:23" x14ac:dyDescent="0.2">
      <c r="A107" t="s">
        <v>31</v>
      </c>
      <c r="B107" t="s">
        <v>62</v>
      </c>
      <c r="C107">
        <v>0</v>
      </c>
      <c r="D107" s="5">
        <v>0</v>
      </c>
      <c r="E107">
        <v>0</v>
      </c>
      <c r="F107" s="5">
        <v>0</v>
      </c>
      <c r="G107">
        <v>0</v>
      </c>
      <c r="H107" s="5">
        <v>0</v>
      </c>
      <c r="I107">
        <v>0</v>
      </c>
      <c r="J107" s="5">
        <v>0</v>
      </c>
      <c r="K107">
        <v>0</v>
      </c>
      <c r="L107" s="5">
        <v>0</v>
      </c>
      <c r="M107">
        <v>133</v>
      </c>
      <c r="N107">
        <v>133</v>
      </c>
      <c r="O107">
        <v>0</v>
      </c>
      <c r="P107" s="5">
        <v>0</v>
      </c>
      <c r="Q107">
        <v>466518</v>
      </c>
      <c r="R107">
        <v>0</v>
      </c>
      <c r="T107" t="s">
        <v>33</v>
      </c>
      <c r="U107" t="s">
        <v>25</v>
      </c>
      <c r="V107" t="s">
        <v>30</v>
      </c>
      <c r="W107">
        <v>66</v>
      </c>
    </row>
    <row r="108" spans="1:23" x14ac:dyDescent="0.2">
      <c r="A108" t="s">
        <v>34</v>
      </c>
      <c r="B108" t="s">
        <v>62</v>
      </c>
      <c r="C108">
        <v>0</v>
      </c>
      <c r="D108" s="5">
        <v>0</v>
      </c>
      <c r="E108">
        <v>0</v>
      </c>
      <c r="F108" s="5">
        <v>0</v>
      </c>
      <c r="G108">
        <v>0</v>
      </c>
      <c r="H108" s="5">
        <v>0</v>
      </c>
      <c r="I108">
        <v>0</v>
      </c>
      <c r="J108" s="5">
        <v>0</v>
      </c>
      <c r="K108">
        <v>0</v>
      </c>
      <c r="L108" s="5">
        <v>0</v>
      </c>
      <c r="M108">
        <v>124</v>
      </c>
      <c r="N108">
        <v>124</v>
      </c>
      <c r="O108">
        <v>0</v>
      </c>
      <c r="P108" s="5">
        <v>0</v>
      </c>
      <c r="Q108">
        <v>520466</v>
      </c>
      <c r="R108">
        <v>0</v>
      </c>
      <c r="T108" t="s">
        <v>33</v>
      </c>
      <c r="U108" t="s">
        <v>25</v>
      </c>
      <c r="V108" t="s">
        <v>30</v>
      </c>
      <c r="W108">
        <v>70</v>
      </c>
    </row>
    <row r="109" spans="1:23" x14ac:dyDescent="0.2">
      <c r="A109" t="s">
        <v>39</v>
      </c>
      <c r="B109" t="s">
        <v>62</v>
      </c>
      <c r="C109">
        <v>6</v>
      </c>
      <c r="D109" s="5">
        <v>2E-3</v>
      </c>
      <c r="E109">
        <v>0</v>
      </c>
      <c r="F109" s="5">
        <v>0</v>
      </c>
      <c r="G109">
        <v>5</v>
      </c>
      <c r="H109" s="5">
        <v>2.3999999999999998E-3</v>
      </c>
      <c r="I109">
        <v>0</v>
      </c>
      <c r="J109" s="5">
        <v>0</v>
      </c>
      <c r="K109">
        <v>0</v>
      </c>
      <c r="L109" s="5">
        <v>0</v>
      </c>
      <c r="M109">
        <v>133</v>
      </c>
      <c r="N109">
        <v>133</v>
      </c>
      <c r="O109">
        <v>0</v>
      </c>
      <c r="P109" s="5">
        <v>3.0000000000000001E-3</v>
      </c>
      <c r="Q109">
        <v>587743</v>
      </c>
      <c r="R109">
        <v>11</v>
      </c>
      <c r="S109">
        <v>0</v>
      </c>
      <c r="T109" t="s">
        <v>24</v>
      </c>
      <c r="U109" t="s">
        <v>25</v>
      </c>
      <c r="V109" t="s">
        <v>38</v>
      </c>
      <c r="W109">
        <v>80</v>
      </c>
    </row>
    <row r="110" spans="1:23" x14ac:dyDescent="0.2">
      <c r="A110" t="s">
        <v>22</v>
      </c>
      <c r="B110" t="s">
        <v>63</v>
      </c>
      <c r="C110">
        <v>23934</v>
      </c>
      <c r="D110" s="5">
        <v>1.9800000000000002E-2</v>
      </c>
      <c r="E110">
        <v>4263</v>
      </c>
      <c r="F110" s="5">
        <v>0.28299999999999997</v>
      </c>
      <c r="G110">
        <v>949</v>
      </c>
      <c r="H110" s="5">
        <v>4.7000000000000002E-3</v>
      </c>
      <c r="I110">
        <v>0</v>
      </c>
      <c r="J110" s="5">
        <v>0</v>
      </c>
      <c r="K110">
        <v>884</v>
      </c>
      <c r="L110" s="5">
        <v>9.7000000000000003E-3</v>
      </c>
      <c r="M110">
        <v>16263</v>
      </c>
      <c r="N110">
        <v>16263</v>
      </c>
      <c r="O110">
        <v>0</v>
      </c>
      <c r="P110" s="5">
        <v>0</v>
      </c>
      <c r="Q110">
        <v>209628</v>
      </c>
      <c r="R110">
        <v>30030</v>
      </c>
      <c r="S110">
        <v>4.49</v>
      </c>
      <c r="T110" t="s">
        <v>28</v>
      </c>
      <c r="U110" t="s">
        <v>25</v>
      </c>
      <c r="V110" t="s">
        <v>30</v>
      </c>
      <c r="W110">
        <v>61</v>
      </c>
    </row>
    <row r="111" spans="1:23" x14ac:dyDescent="0.2">
      <c r="A111" t="s">
        <v>31</v>
      </c>
      <c r="B111" t="s">
        <v>63</v>
      </c>
      <c r="C111">
        <v>61626</v>
      </c>
      <c r="D111" s="5">
        <v>4.6199999999999998E-2</v>
      </c>
      <c r="E111">
        <v>2691</v>
      </c>
      <c r="F111" s="5">
        <v>0.1211</v>
      </c>
      <c r="G111">
        <v>2456</v>
      </c>
      <c r="H111" s="5">
        <v>1.0500000000000001E-2</v>
      </c>
      <c r="I111">
        <v>0</v>
      </c>
      <c r="J111" s="5">
        <v>0</v>
      </c>
      <c r="K111">
        <v>182</v>
      </c>
      <c r="L111" s="5">
        <v>1.6999999999999999E-3</v>
      </c>
      <c r="M111">
        <v>16891</v>
      </c>
      <c r="N111">
        <v>16891</v>
      </c>
      <c r="O111">
        <v>0</v>
      </c>
      <c r="P111" s="5">
        <v>0</v>
      </c>
      <c r="Q111">
        <v>242339</v>
      </c>
      <c r="R111">
        <v>66955</v>
      </c>
      <c r="S111">
        <v>1.1000000000000001</v>
      </c>
      <c r="T111" t="s">
        <v>24</v>
      </c>
      <c r="U111" t="s">
        <v>25</v>
      </c>
      <c r="V111" t="s">
        <v>30</v>
      </c>
      <c r="W111">
        <v>76</v>
      </c>
    </row>
    <row r="112" spans="1:23" x14ac:dyDescent="0.2">
      <c r="A112" t="s">
        <v>34</v>
      </c>
      <c r="B112" t="s">
        <v>63</v>
      </c>
      <c r="C112">
        <v>78422</v>
      </c>
      <c r="D112" s="5">
        <v>5.6000000000000001E-2</v>
      </c>
      <c r="E112">
        <v>5375</v>
      </c>
      <c r="F112" s="5">
        <v>0.1201</v>
      </c>
      <c r="G112">
        <v>6019</v>
      </c>
      <c r="H112" s="5">
        <v>2.3099999999999999E-2</v>
      </c>
      <c r="I112">
        <v>43</v>
      </c>
      <c r="J112" s="5">
        <v>9.7000000000000003E-3</v>
      </c>
      <c r="K112">
        <v>383</v>
      </c>
      <c r="L112" s="5">
        <v>3.3E-3</v>
      </c>
      <c r="M112">
        <v>17729</v>
      </c>
      <c r="N112">
        <v>17729</v>
      </c>
      <c r="O112">
        <v>0</v>
      </c>
      <c r="P112" s="5">
        <v>0</v>
      </c>
      <c r="Q112">
        <v>277802</v>
      </c>
      <c r="R112">
        <v>90242</v>
      </c>
      <c r="S112">
        <v>0.89</v>
      </c>
      <c r="T112" t="s">
        <v>24</v>
      </c>
      <c r="U112" t="s">
        <v>25</v>
      </c>
      <c r="V112" t="s">
        <v>30</v>
      </c>
      <c r="W112">
        <v>79</v>
      </c>
    </row>
    <row r="113" spans="1:23" x14ac:dyDescent="0.2">
      <c r="A113" t="s">
        <v>39</v>
      </c>
      <c r="B113" t="s">
        <v>63</v>
      </c>
      <c r="C113">
        <v>92522</v>
      </c>
      <c r="D113" s="5">
        <v>0.1069</v>
      </c>
      <c r="E113">
        <v>4470</v>
      </c>
      <c r="F113" s="5">
        <v>0.1653</v>
      </c>
      <c r="G113">
        <v>9165</v>
      </c>
      <c r="H113" s="5">
        <v>5.7700000000000001E-2</v>
      </c>
      <c r="I113">
        <v>277</v>
      </c>
      <c r="J113" s="5">
        <v>6.8099999999999994E-2</v>
      </c>
      <c r="K113">
        <v>991</v>
      </c>
      <c r="L113" s="5">
        <v>1.4500000000000001E-2</v>
      </c>
      <c r="M113">
        <v>19045</v>
      </c>
      <c r="N113">
        <v>19045</v>
      </c>
      <c r="O113">
        <v>0</v>
      </c>
      <c r="P113" s="5">
        <v>0</v>
      </c>
      <c r="Q113">
        <v>315220</v>
      </c>
      <c r="R113">
        <v>107425</v>
      </c>
      <c r="S113">
        <v>0.49</v>
      </c>
      <c r="T113" t="s">
        <v>24</v>
      </c>
      <c r="U113" t="s">
        <v>25</v>
      </c>
      <c r="V113" t="s">
        <v>30</v>
      </c>
      <c r="W113">
        <v>81</v>
      </c>
    </row>
    <row r="114" spans="1:23" x14ac:dyDescent="0.2">
      <c r="A114" t="s">
        <v>22</v>
      </c>
      <c r="B114" t="s">
        <v>64</v>
      </c>
      <c r="C114">
        <v>0</v>
      </c>
      <c r="D114" s="5">
        <v>0</v>
      </c>
      <c r="E114">
        <v>0</v>
      </c>
      <c r="F114" s="5">
        <v>0</v>
      </c>
      <c r="G114">
        <v>0</v>
      </c>
      <c r="H114" s="5">
        <v>0</v>
      </c>
      <c r="I114">
        <v>0</v>
      </c>
      <c r="J114" s="5">
        <v>0</v>
      </c>
      <c r="K114">
        <v>0</v>
      </c>
      <c r="L114" s="5">
        <v>0</v>
      </c>
      <c r="M114">
        <v>13688</v>
      </c>
      <c r="N114">
        <v>13688</v>
      </c>
      <c r="O114">
        <v>0</v>
      </c>
      <c r="P114" s="5">
        <v>0</v>
      </c>
      <c r="Q114">
        <v>225734</v>
      </c>
      <c r="R114">
        <v>0</v>
      </c>
      <c r="T114" t="s">
        <v>33</v>
      </c>
      <c r="U114" t="s">
        <v>25</v>
      </c>
      <c r="V114" t="s">
        <v>30</v>
      </c>
      <c r="W114">
        <v>50</v>
      </c>
    </row>
    <row r="115" spans="1:23" x14ac:dyDescent="0.2">
      <c r="A115" t="s">
        <v>31</v>
      </c>
      <c r="B115" t="s">
        <v>64</v>
      </c>
      <c r="C115">
        <v>0</v>
      </c>
      <c r="D115" s="5">
        <v>0</v>
      </c>
      <c r="E115">
        <v>0</v>
      </c>
      <c r="F115" s="5">
        <v>0</v>
      </c>
      <c r="G115">
        <v>0</v>
      </c>
      <c r="H115" s="5">
        <v>0</v>
      </c>
      <c r="I115">
        <v>0</v>
      </c>
      <c r="J115" s="5">
        <v>0</v>
      </c>
      <c r="K115">
        <v>0</v>
      </c>
      <c r="L115" s="5">
        <v>0</v>
      </c>
      <c r="M115">
        <v>14163</v>
      </c>
      <c r="N115">
        <v>14160</v>
      </c>
      <c r="O115">
        <v>3</v>
      </c>
      <c r="P115" s="5">
        <v>2.0000000000000001E-4</v>
      </c>
      <c r="Q115">
        <v>269000</v>
      </c>
      <c r="R115">
        <v>0</v>
      </c>
      <c r="T115" t="s">
        <v>33</v>
      </c>
      <c r="U115" t="s">
        <v>25</v>
      </c>
      <c r="V115" t="s">
        <v>38</v>
      </c>
      <c r="W115">
        <v>53</v>
      </c>
    </row>
    <row r="116" spans="1:23" x14ac:dyDescent="0.2">
      <c r="A116" t="s">
        <v>34</v>
      </c>
      <c r="B116" t="s">
        <v>64</v>
      </c>
      <c r="C116">
        <v>0</v>
      </c>
      <c r="D116" s="5">
        <v>0</v>
      </c>
      <c r="E116">
        <v>0</v>
      </c>
      <c r="F116" s="5">
        <v>0</v>
      </c>
      <c r="G116">
        <v>0</v>
      </c>
      <c r="H116" s="5">
        <v>0</v>
      </c>
      <c r="I116">
        <v>0</v>
      </c>
      <c r="J116" s="5">
        <v>0</v>
      </c>
      <c r="K116">
        <v>0</v>
      </c>
      <c r="L116" s="5">
        <v>0</v>
      </c>
      <c r="M116">
        <v>15497</v>
      </c>
      <c r="N116">
        <v>15497</v>
      </c>
      <c r="O116">
        <v>0</v>
      </c>
      <c r="P116" s="5">
        <v>0</v>
      </c>
      <c r="Q116">
        <v>312522</v>
      </c>
      <c r="R116">
        <v>0</v>
      </c>
      <c r="T116" t="s">
        <v>33</v>
      </c>
      <c r="U116" t="s">
        <v>25</v>
      </c>
      <c r="V116" t="s">
        <v>30</v>
      </c>
      <c r="W116">
        <v>56</v>
      </c>
    </row>
    <row r="117" spans="1:23" x14ac:dyDescent="0.2">
      <c r="A117" t="s">
        <v>39</v>
      </c>
      <c r="B117" t="s">
        <v>64</v>
      </c>
      <c r="C117">
        <v>8969</v>
      </c>
      <c r="D117" s="5">
        <v>0.15440000000000001</v>
      </c>
      <c r="E117">
        <v>0</v>
      </c>
      <c r="F117" s="5">
        <v>0</v>
      </c>
      <c r="G117">
        <v>3320</v>
      </c>
      <c r="H117" s="5">
        <v>0.16370000000000001</v>
      </c>
      <c r="I117">
        <v>0</v>
      </c>
      <c r="J117" s="5">
        <v>0</v>
      </c>
      <c r="K117">
        <v>0</v>
      </c>
      <c r="L117" s="5">
        <v>0</v>
      </c>
      <c r="M117">
        <v>15622</v>
      </c>
      <c r="N117">
        <v>15622</v>
      </c>
      <c r="O117">
        <v>0</v>
      </c>
      <c r="P117" s="5">
        <v>0</v>
      </c>
      <c r="Q117">
        <v>356564</v>
      </c>
      <c r="R117">
        <v>12289</v>
      </c>
      <c r="S117">
        <v>0</v>
      </c>
      <c r="T117" t="s">
        <v>24</v>
      </c>
      <c r="U117" t="s">
        <v>25</v>
      </c>
      <c r="V117" t="s">
        <v>30</v>
      </c>
      <c r="W117">
        <v>84</v>
      </c>
    </row>
    <row r="118" spans="1:23" x14ac:dyDescent="0.2">
      <c r="A118" t="s">
        <v>22</v>
      </c>
      <c r="B118" t="s">
        <v>65</v>
      </c>
      <c r="C118">
        <v>3</v>
      </c>
      <c r="D118" s="5">
        <v>1E-4</v>
      </c>
      <c r="E118">
        <v>2426</v>
      </c>
      <c r="F118" s="5">
        <v>0.41639999999999999</v>
      </c>
      <c r="G118">
        <v>5</v>
      </c>
      <c r="H118" s="5">
        <v>1.1999999999999999E-3</v>
      </c>
      <c r="I118">
        <v>0</v>
      </c>
      <c r="J118" s="5">
        <v>0</v>
      </c>
      <c r="K118">
        <v>1</v>
      </c>
      <c r="L118" s="5">
        <v>4.0000000000000002E-4</v>
      </c>
      <c r="M118">
        <v>317</v>
      </c>
      <c r="N118">
        <v>315</v>
      </c>
      <c r="O118">
        <v>2</v>
      </c>
      <c r="P118" s="5">
        <v>6.3E-3</v>
      </c>
      <c r="Q118">
        <v>118401</v>
      </c>
      <c r="R118">
        <v>2435</v>
      </c>
      <c r="S118">
        <v>100</v>
      </c>
      <c r="T118" t="s">
        <v>36</v>
      </c>
      <c r="U118" t="s">
        <v>29</v>
      </c>
      <c r="V118" t="s">
        <v>38</v>
      </c>
      <c r="W118">
        <v>46</v>
      </c>
    </row>
    <row r="119" spans="1:23" x14ac:dyDescent="0.2">
      <c r="A119" t="s">
        <v>31</v>
      </c>
      <c r="B119" t="s">
        <v>65</v>
      </c>
      <c r="C119">
        <v>196</v>
      </c>
      <c r="D119" s="5">
        <v>5.3E-3</v>
      </c>
      <c r="E119">
        <v>3975</v>
      </c>
      <c r="F119" s="5">
        <v>0.49509999999999998</v>
      </c>
      <c r="G119">
        <v>0</v>
      </c>
      <c r="H119" s="5">
        <v>0</v>
      </c>
      <c r="I119">
        <v>0</v>
      </c>
      <c r="J119" s="5">
        <v>0</v>
      </c>
      <c r="K119">
        <v>7</v>
      </c>
      <c r="L119" s="5">
        <v>2.5000000000000001E-3</v>
      </c>
      <c r="M119">
        <v>328</v>
      </c>
      <c r="N119">
        <v>327</v>
      </c>
      <c r="O119">
        <v>1</v>
      </c>
      <c r="P119" s="5">
        <v>3.0000000000000001E-3</v>
      </c>
      <c r="Q119">
        <v>137032</v>
      </c>
      <c r="R119">
        <v>4178</v>
      </c>
      <c r="T119" t="s">
        <v>33</v>
      </c>
      <c r="U119" t="s">
        <v>29</v>
      </c>
      <c r="V119" t="s">
        <v>38</v>
      </c>
      <c r="W119">
        <v>44</v>
      </c>
    </row>
    <row r="120" spans="1:23" x14ac:dyDescent="0.2">
      <c r="A120" t="s">
        <v>34</v>
      </c>
      <c r="B120" t="s">
        <v>65</v>
      </c>
      <c r="C120">
        <v>256</v>
      </c>
      <c r="D120" s="5">
        <v>6.4999999999999997E-3</v>
      </c>
      <c r="E120">
        <v>6025</v>
      </c>
      <c r="F120" s="5">
        <v>0.61829999999999996</v>
      </c>
      <c r="G120">
        <v>30</v>
      </c>
      <c r="H120" s="5">
        <v>5.5999999999999999E-3</v>
      </c>
      <c r="I120">
        <v>0</v>
      </c>
      <c r="J120" s="5">
        <v>0</v>
      </c>
      <c r="K120">
        <v>1</v>
      </c>
      <c r="L120" s="5">
        <v>4.0000000000000002E-4</v>
      </c>
      <c r="M120">
        <v>333</v>
      </c>
      <c r="N120">
        <v>333</v>
      </c>
      <c r="O120">
        <v>0</v>
      </c>
      <c r="P120" s="5">
        <v>0</v>
      </c>
      <c r="Q120">
        <v>157364</v>
      </c>
      <c r="R120">
        <v>6312</v>
      </c>
      <c r="S120">
        <v>100</v>
      </c>
      <c r="T120" t="s">
        <v>36</v>
      </c>
      <c r="U120" t="s">
        <v>29</v>
      </c>
      <c r="V120" t="s">
        <v>30</v>
      </c>
      <c r="W120">
        <v>59</v>
      </c>
    </row>
    <row r="121" spans="1:23" x14ac:dyDescent="0.2">
      <c r="A121" t="s">
        <v>39</v>
      </c>
      <c r="B121" t="s">
        <v>65</v>
      </c>
      <c r="C121">
        <v>195</v>
      </c>
      <c r="D121" s="5">
        <v>1.38E-2</v>
      </c>
      <c r="E121">
        <v>3438</v>
      </c>
      <c r="F121" s="5">
        <v>0.77090000000000003</v>
      </c>
      <c r="G121">
        <v>14</v>
      </c>
      <c r="H121" s="5">
        <v>4.5999999999999999E-3</v>
      </c>
      <c r="I121">
        <v>0</v>
      </c>
      <c r="J121" s="5">
        <v>0</v>
      </c>
      <c r="K121">
        <v>52</v>
      </c>
      <c r="L121" s="5">
        <v>3.6999999999999998E-2</v>
      </c>
      <c r="M121">
        <v>362</v>
      </c>
      <c r="N121">
        <v>362</v>
      </c>
      <c r="O121">
        <v>0</v>
      </c>
      <c r="P121" s="5">
        <v>0</v>
      </c>
      <c r="Q121">
        <v>177723</v>
      </c>
      <c r="R121">
        <v>3699</v>
      </c>
      <c r="S121">
        <v>100</v>
      </c>
      <c r="T121" t="s">
        <v>36</v>
      </c>
      <c r="U121" t="s">
        <v>29</v>
      </c>
      <c r="V121" t="s">
        <v>30</v>
      </c>
      <c r="W121">
        <v>58</v>
      </c>
    </row>
    <row r="122" spans="1:23" x14ac:dyDescent="0.2">
      <c r="A122" t="s">
        <v>22</v>
      </c>
      <c r="B122" t="s">
        <v>66</v>
      </c>
      <c r="C122">
        <v>6290</v>
      </c>
      <c r="D122" s="5">
        <v>2.8999999999999998E-3</v>
      </c>
      <c r="E122">
        <v>60117</v>
      </c>
      <c r="F122" s="5">
        <v>0.65059999999999996</v>
      </c>
      <c r="G122">
        <v>79</v>
      </c>
      <c r="H122" s="5">
        <v>2.0000000000000001E-4</v>
      </c>
      <c r="I122">
        <v>192</v>
      </c>
      <c r="J122" s="5">
        <v>0.1411</v>
      </c>
      <c r="K122">
        <v>24</v>
      </c>
      <c r="L122" s="5">
        <v>1E-4</v>
      </c>
      <c r="M122">
        <v>23797</v>
      </c>
      <c r="N122">
        <v>23747</v>
      </c>
      <c r="O122">
        <v>50</v>
      </c>
      <c r="P122" s="5">
        <v>2.0999999999999999E-3</v>
      </c>
      <c r="Q122">
        <v>61598</v>
      </c>
      <c r="R122">
        <v>66702</v>
      </c>
      <c r="S122">
        <v>100</v>
      </c>
      <c r="T122" t="s">
        <v>36</v>
      </c>
      <c r="U122" t="s">
        <v>37</v>
      </c>
      <c r="V122" t="s">
        <v>38</v>
      </c>
      <c r="W122">
        <v>40</v>
      </c>
    </row>
    <row r="123" spans="1:23" x14ac:dyDescent="0.2">
      <c r="A123" t="s">
        <v>31</v>
      </c>
      <c r="B123" t="s">
        <v>66</v>
      </c>
      <c r="C123">
        <v>23581</v>
      </c>
      <c r="D123" s="5">
        <v>1.04E-2</v>
      </c>
      <c r="E123">
        <v>138569</v>
      </c>
      <c r="F123" s="5">
        <v>0.76839999999999997</v>
      </c>
      <c r="G123">
        <v>210</v>
      </c>
      <c r="H123" s="5">
        <v>5.9999999999999995E-4</v>
      </c>
      <c r="I123">
        <v>465</v>
      </c>
      <c r="J123" s="5">
        <v>9.0499999999999997E-2</v>
      </c>
      <c r="K123">
        <v>32</v>
      </c>
      <c r="L123" s="5">
        <v>2.0000000000000001E-4</v>
      </c>
      <c r="M123">
        <v>24965</v>
      </c>
      <c r="N123">
        <v>24795</v>
      </c>
      <c r="O123">
        <v>170</v>
      </c>
      <c r="P123" s="5">
        <v>6.7999999999999996E-3</v>
      </c>
      <c r="Q123">
        <v>74055</v>
      </c>
      <c r="R123">
        <v>162857</v>
      </c>
      <c r="S123">
        <v>100</v>
      </c>
      <c r="T123" t="s">
        <v>36</v>
      </c>
      <c r="U123" t="s">
        <v>37</v>
      </c>
      <c r="V123" t="s">
        <v>38</v>
      </c>
      <c r="W123">
        <v>41</v>
      </c>
    </row>
    <row r="124" spans="1:23" x14ac:dyDescent="0.2">
      <c r="A124" t="s">
        <v>34</v>
      </c>
      <c r="B124" t="s">
        <v>66</v>
      </c>
      <c r="C124">
        <v>39968</v>
      </c>
      <c r="D124" s="5">
        <v>1.6E-2</v>
      </c>
      <c r="E124">
        <v>232595</v>
      </c>
      <c r="F124" s="5">
        <v>0.81279999999999997</v>
      </c>
      <c r="G124">
        <v>4580</v>
      </c>
      <c r="H124" s="5">
        <v>1.15E-2</v>
      </c>
      <c r="I124">
        <v>50</v>
      </c>
      <c r="J124" s="5">
        <v>4.8999999999999998E-3</v>
      </c>
      <c r="K124">
        <v>107</v>
      </c>
      <c r="L124" s="5">
        <v>5.0000000000000001E-4</v>
      </c>
      <c r="M124">
        <v>27369</v>
      </c>
      <c r="N124">
        <v>26589</v>
      </c>
      <c r="O124">
        <v>780</v>
      </c>
      <c r="P124" s="5">
        <v>2.8500000000000001E-2</v>
      </c>
      <c r="Q124">
        <v>84126</v>
      </c>
      <c r="R124">
        <v>277300</v>
      </c>
      <c r="S124">
        <v>50.78</v>
      </c>
      <c r="T124" t="s">
        <v>36</v>
      </c>
      <c r="U124" t="s">
        <v>37</v>
      </c>
      <c r="V124" t="s">
        <v>38</v>
      </c>
      <c r="W124">
        <v>65</v>
      </c>
    </row>
    <row r="125" spans="1:23" x14ac:dyDescent="0.2">
      <c r="A125" t="s">
        <v>39</v>
      </c>
      <c r="B125" t="s">
        <v>66</v>
      </c>
      <c r="C125">
        <v>61823</v>
      </c>
      <c r="D125" s="5">
        <v>4.48E-2</v>
      </c>
      <c r="E125">
        <v>106430</v>
      </c>
      <c r="F125" s="5">
        <v>0.88139999999999996</v>
      </c>
      <c r="G125">
        <v>6577</v>
      </c>
      <c r="H125" s="5">
        <v>2.7799999999999998E-2</v>
      </c>
      <c r="I125">
        <v>61</v>
      </c>
      <c r="J125" s="5">
        <v>1.1299999999999999E-2</v>
      </c>
      <c r="K125">
        <v>678</v>
      </c>
      <c r="L125" s="5">
        <v>5.7999999999999996E-3</v>
      </c>
      <c r="M125">
        <v>28704</v>
      </c>
      <c r="N125">
        <v>28284</v>
      </c>
      <c r="O125">
        <v>420</v>
      </c>
      <c r="P125" s="5">
        <v>1.4999999999999999E-2</v>
      </c>
      <c r="Q125">
        <v>93514</v>
      </c>
      <c r="R125">
        <v>175569</v>
      </c>
      <c r="S125">
        <v>16.18</v>
      </c>
      <c r="T125" t="s">
        <v>36</v>
      </c>
      <c r="U125" t="s">
        <v>37</v>
      </c>
      <c r="V125" t="s">
        <v>38</v>
      </c>
      <c r="W125">
        <v>66</v>
      </c>
    </row>
    <row r="126" spans="1:23" x14ac:dyDescent="0.2">
      <c r="A126" t="s">
        <v>22</v>
      </c>
      <c r="B126" t="s">
        <v>67</v>
      </c>
      <c r="C126">
        <v>1211</v>
      </c>
      <c r="D126" s="5">
        <v>8.8000000000000005E-3</v>
      </c>
      <c r="E126">
        <v>3981</v>
      </c>
      <c r="F126" s="5">
        <v>0.79190000000000005</v>
      </c>
      <c r="G126">
        <v>122</v>
      </c>
      <c r="H126" s="5">
        <v>2.8E-3</v>
      </c>
      <c r="I126">
        <v>10</v>
      </c>
      <c r="J126" s="5">
        <v>8.4000000000000005E-2</v>
      </c>
      <c r="K126">
        <v>0</v>
      </c>
      <c r="L126" s="5">
        <v>0</v>
      </c>
      <c r="M126">
        <v>2372</v>
      </c>
      <c r="N126">
        <v>2372</v>
      </c>
      <c r="O126">
        <v>0</v>
      </c>
      <c r="P126" s="5">
        <v>0</v>
      </c>
      <c r="Q126">
        <v>174526</v>
      </c>
      <c r="R126">
        <v>5324</v>
      </c>
      <c r="S126">
        <v>32.630000000000003</v>
      </c>
      <c r="T126" t="s">
        <v>36</v>
      </c>
      <c r="U126" t="s">
        <v>29</v>
      </c>
      <c r="V126" t="s">
        <v>30</v>
      </c>
      <c r="W126">
        <v>54</v>
      </c>
    </row>
    <row r="127" spans="1:23" x14ac:dyDescent="0.2">
      <c r="A127" t="s">
        <v>31</v>
      </c>
      <c r="B127" t="s">
        <v>67</v>
      </c>
      <c r="C127">
        <v>5696</v>
      </c>
      <c r="D127" s="5">
        <v>3.5499999999999997E-2</v>
      </c>
      <c r="E127">
        <v>9456</v>
      </c>
      <c r="F127" s="5">
        <v>0.8851</v>
      </c>
      <c r="G127">
        <v>385</v>
      </c>
      <c r="H127" s="5">
        <v>7.9000000000000008E-3</v>
      </c>
      <c r="I127">
        <v>24</v>
      </c>
      <c r="J127" s="5">
        <v>4.2900000000000001E-2</v>
      </c>
      <c r="K127">
        <v>0</v>
      </c>
      <c r="L127" s="5">
        <v>0</v>
      </c>
      <c r="M127">
        <v>2468</v>
      </c>
      <c r="N127">
        <v>2468</v>
      </c>
      <c r="O127">
        <v>0</v>
      </c>
      <c r="P127" s="5">
        <v>0</v>
      </c>
      <c r="Q127">
        <v>205246</v>
      </c>
      <c r="R127">
        <v>15561</v>
      </c>
      <c r="S127">
        <v>24.56</v>
      </c>
      <c r="T127" t="s">
        <v>36</v>
      </c>
      <c r="U127" t="s">
        <v>25</v>
      </c>
      <c r="V127" t="s">
        <v>30</v>
      </c>
      <c r="W127">
        <v>68</v>
      </c>
    </row>
    <row r="128" spans="1:23" x14ac:dyDescent="0.2">
      <c r="A128" t="s">
        <v>34</v>
      </c>
      <c r="B128" t="s">
        <v>67</v>
      </c>
      <c r="C128">
        <v>5688</v>
      </c>
      <c r="D128" s="5">
        <v>3.27E-2</v>
      </c>
      <c r="E128">
        <v>10617</v>
      </c>
      <c r="F128" s="5">
        <v>0.80059999999999998</v>
      </c>
      <c r="G128">
        <v>488</v>
      </c>
      <c r="H128" s="5">
        <v>8.8000000000000005E-3</v>
      </c>
      <c r="I128">
        <v>0</v>
      </c>
      <c r="J128" s="5">
        <v>0</v>
      </c>
      <c r="K128">
        <v>1</v>
      </c>
      <c r="L128" s="5">
        <v>1E-4</v>
      </c>
      <c r="M128">
        <v>2594</v>
      </c>
      <c r="N128">
        <v>2594</v>
      </c>
      <c r="O128">
        <v>0</v>
      </c>
      <c r="P128" s="5">
        <v>0</v>
      </c>
      <c r="Q128">
        <v>230994</v>
      </c>
      <c r="R128">
        <v>16794</v>
      </c>
      <c r="S128">
        <v>21.76</v>
      </c>
      <c r="T128" t="s">
        <v>36</v>
      </c>
      <c r="U128" t="s">
        <v>25</v>
      </c>
      <c r="V128" t="s">
        <v>30</v>
      </c>
      <c r="W128">
        <v>72</v>
      </c>
    </row>
    <row r="129" spans="1:23" x14ac:dyDescent="0.2">
      <c r="A129" t="s">
        <v>39</v>
      </c>
      <c r="B129" t="s">
        <v>67</v>
      </c>
      <c r="C129">
        <v>4401</v>
      </c>
      <c r="D129" s="5">
        <v>5.2699999999999997E-2</v>
      </c>
      <c r="E129">
        <v>4224</v>
      </c>
      <c r="F129" s="5">
        <v>0.93720000000000003</v>
      </c>
      <c r="G129">
        <v>822</v>
      </c>
      <c r="H129" s="5">
        <v>2.4799999999999999E-2</v>
      </c>
      <c r="I129">
        <v>0</v>
      </c>
      <c r="J129" s="5">
        <v>0</v>
      </c>
      <c r="K129">
        <v>47</v>
      </c>
      <c r="L129" s="5">
        <v>7.7999999999999996E-3</v>
      </c>
      <c r="M129">
        <v>2635</v>
      </c>
      <c r="N129">
        <v>2405</v>
      </c>
      <c r="O129">
        <v>230</v>
      </c>
      <c r="P129" s="5">
        <v>8.6999999999999994E-2</v>
      </c>
      <c r="Q129">
        <v>260201</v>
      </c>
      <c r="R129">
        <v>9494</v>
      </c>
      <c r="S129">
        <v>5.14</v>
      </c>
      <c r="T129" t="s">
        <v>36</v>
      </c>
      <c r="U129" t="s">
        <v>25</v>
      </c>
      <c r="V129" t="s">
        <v>26</v>
      </c>
      <c r="W129">
        <v>74</v>
      </c>
    </row>
    <row r="130" spans="1:23" x14ac:dyDescent="0.2">
      <c r="A130" t="s">
        <v>22</v>
      </c>
      <c r="B130" t="s">
        <v>68</v>
      </c>
      <c r="C130">
        <v>915</v>
      </c>
      <c r="D130" s="5">
        <v>1.1000000000000001E-3</v>
      </c>
      <c r="E130">
        <v>5158</v>
      </c>
      <c r="F130" s="5">
        <v>0.4032</v>
      </c>
      <c r="G130">
        <v>334</v>
      </c>
      <c r="H130" s="5">
        <v>3.3999999999999998E-3</v>
      </c>
      <c r="I130">
        <v>1</v>
      </c>
      <c r="J130" s="5">
        <v>4.0000000000000002E-4</v>
      </c>
      <c r="K130">
        <v>0</v>
      </c>
      <c r="L130" s="5">
        <v>0</v>
      </c>
      <c r="M130">
        <v>8846</v>
      </c>
      <c r="N130">
        <v>8846</v>
      </c>
      <c r="O130">
        <v>0</v>
      </c>
      <c r="P130" s="5">
        <v>0</v>
      </c>
      <c r="Q130">
        <v>105109</v>
      </c>
      <c r="R130">
        <v>6408</v>
      </c>
      <c r="S130">
        <v>15.44</v>
      </c>
      <c r="T130" t="s">
        <v>36</v>
      </c>
      <c r="U130" t="s">
        <v>29</v>
      </c>
      <c r="V130" t="s">
        <v>30</v>
      </c>
      <c r="W130">
        <v>51</v>
      </c>
    </row>
    <row r="131" spans="1:23" x14ac:dyDescent="0.2">
      <c r="A131" t="s">
        <v>31</v>
      </c>
      <c r="B131" t="s">
        <v>68</v>
      </c>
      <c r="C131">
        <v>8410</v>
      </c>
      <c r="D131" s="5">
        <v>1.04E-2</v>
      </c>
      <c r="E131">
        <v>1766</v>
      </c>
      <c r="F131" s="5">
        <v>0.27510000000000001</v>
      </c>
      <c r="G131">
        <v>953</v>
      </c>
      <c r="H131" s="5">
        <v>9.1999999999999998E-3</v>
      </c>
      <c r="I131">
        <v>11</v>
      </c>
      <c r="J131" s="5">
        <v>3.7000000000000002E-3</v>
      </c>
      <c r="K131">
        <v>2</v>
      </c>
      <c r="L131" s="5">
        <v>0</v>
      </c>
      <c r="M131">
        <v>9089</v>
      </c>
      <c r="N131">
        <v>9087</v>
      </c>
      <c r="O131">
        <v>2</v>
      </c>
      <c r="P131" s="5">
        <v>2.0000000000000001E-4</v>
      </c>
      <c r="Q131">
        <v>121904</v>
      </c>
      <c r="R131">
        <v>11142</v>
      </c>
      <c r="S131">
        <v>1.85</v>
      </c>
      <c r="T131" t="s">
        <v>24</v>
      </c>
      <c r="U131" t="s">
        <v>29</v>
      </c>
      <c r="V131" t="s">
        <v>38</v>
      </c>
      <c r="W131">
        <v>66</v>
      </c>
    </row>
    <row r="132" spans="1:23" x14ac:dyDescent="0.2">
      <c r="A132" t="s">
        <v>34</v>
      </c>
      <c r="B132" t="s">
        <v>68</v>
      </c>
      <c r="C132">
        <v>11429</v>
      </c>
      <c r="D132" s="5">
        <v>1.37E-2</v>
      </c>
      <c r="E132">
        <v>7272</v>
      </c>
      <c r="F132" s="5">
        <v>0.56159999999999999</v>
      </c>
      <c r="G132">
        <v>2602</v>
      </c>
      <c r="H132" s="5">
        <v>2.46E-2</v>
      </c>
      <c r="I132">
        <v>14</v>
      </c>
      <c r="J132" s="5">
        <v>4.3E-3</v>
      </c>
      <c r="K132">
        <v>138</v>
      </c>
      <c r="L132" s="5">
        <v>2.8999999999999998E-3</v>
      </c>
      <c r="M132">
        <v>10125</v>
      </c>
      <c r="N132">
        <v>9900</v>
      </c>
      <c r="O132">
        <v>225</v>
      </c>
      <c r="P132" s="5">
        <v>2.2200000000000001E-2</v>
      </c>
      <c r="Q132">
        <v>139442</v>
      </c>
      <c r="R132">
        <v>21455</v>
      </c>
      <c r="S132">
        <v>2.79</v>
      </c>
      <c r="T132" t="s">
        <v>28</v>
      </c>
      <c r="U132" t="s">
        <v>29</v>
      </c>
      <c r="V132" t="s">
        <v>38</v>
      </c>
      <c r="W132">
        <v>69</v>
      </c>
    </row>
    <row r="133" spans="1:23" x14ac:dyDescent="0.2">
      <c r="A133" t="s">
        <v>39</v>
      </c>
      <c r="B133" t="s">
        <v>68</v>
      </c>
      <c r="C133">
        <v>7774</v>
      </c>
      <c r="D133" s="5">
        <v>0.03</v>
      </c>
      <c r="E133">
        <v>38851</v>
      </c>
      <c r="F133" s="5">
        <v>0.94579999999999997</v>
      </c>
      <c r="G133">
        <v>1745</v>
      </c>
      <c r="H133" s="5">
        <v>5.1299999999999998E-2</v>
      </c>
      <c r="I133">
        <v>20</v>
      </c>
      <c r="J133" s="5">
        <v>1.32E-2</v>
      </c>
      <c r="K133">
        <v>96</v>
      </c>
      <c r="L133" s="5">
        <v>5.4999999999999997E-3</v>
      </c>
      <c r="M133">
        <v>11626</v>
      </c>
      <c r="N133">
        <v>11626</v>
      </c>
      <c r="O133">
        <v>0</v>
      </c>
      <c r="P133" s="5">
        <v>0</v>
      </c>
      <c r="Q133">
        <v>154119</v>
      </c>
      <c r="R133">
        <v>48486</v>
      </c>
      <c r="S133">
        <v>22.26</v>
      </c>
      <c r="T133" t="s">
        <v>36</v>
      </c>
      <c r="U133" t="s">
        <v>29</v>
      </c>
      <c r="V133" t="s">
        <v>30</v>
      </c>
      <c r="W133">
        <v>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03182-A0C4-4082-9FD9-78E9882DE391}">
  <sheetPr codeName="Sheet3"/>
  <dimension ref="A2:AF258"/>
  <sheetViews>
    <sheetView topLeftCell="A22" zoomScale="85" zoomScaleNormal="85" workbookViewId="0">
      <selection activeCell="H134" sqref="H134"/>
    </sheetView>
  </sheetViews>
  <sheetFormatPr defaultColWidth="20" defaultRowHeight="14.25" x14ac:dyDescent="0.2"/>
  <cols>
    <col min="3" max="3" width="13.125" bestFit="1" customWidth="1"/>
    <col min="4" max="5" width="21.625" bestFit="1" customWidth="1"/>
    <col min="6" max="6" width="12.375" bestFit="1" customWidth="1"/>
    <col min="7" max="7" width="7.125" bestFit="1" customWidth="1"/>
    <col min="8" max="8" width="6.125" bestFit="1" customWidth="1"/>
    <col min="9" max="9" width="12.375" bestFit="1" customWidth="1"/>
    <col min="10" max="10" width="6.25" bestFit="1" customWidth="1"/>
  </cols>
  <sheetData>
    <row r="2" spans="1:5" x14ac:dyDescent="0.2">
      <c r="A2" s="17" t="s">
        <v>85</v>
      </c>
      <c r="B2" s="18"/>
      <c r="C2" s="18"/>
      <c r="D2" s="18"/>
    </row>
    <row r="3" spans="1:5" x14ac:dyDescent="0.2">
      <c r="A3" s="18"/>
      <c r="B3" s="18"/>
      <c r="C3" s="18"/>
      <c r="D3" s="18"/>
    </row>
    <row r="5" spans="1:5" x14ac:dyDescent="0.2">
      <c r="D5" s="2" t="s">
        <v>0</v>
      </c>
      <c r="E5" t="s">
        <v>115</v>
      </c>
    </row>
    <row r="7" spans="1:5" x14ac:dyDescent="0.2">
      <c r="D7" s="2" t="s">
        <v>72</v>
      </c>
      <c r="E7" t="s">
        <v>73</v>
      </c>
    </row>
    <row r="8" spans="1:5" x14ac:dyDescent="0.2">
      <c r="D8" s="3" t="s">
        <v>66</v>
      </c>
      <c r="E8" s="22">
        <v>682428</v>
      </c>
    </row>
    <row r="9" spans="1:5" x14ac:dyDescent="0.2">
      <c r="D9" s="3" t="s">
        <v>53</v>
      </c>
      <c r="E9" s="22">
        <v>501521</v>
      </c>
    </row>
    <row r="10" spans="1:5" x14ac:dyDescent="0.2">
      <c r="D10" s="3" t="s">
        <v>50</v>
      </c>
      <c r="E10" s="22">
        <v>395175</v>
      </c>
    </row>
    <row r="11" spans="1:5" x14ac:dyDescent="0.2">
      <c r="D11" s="3" t="s">
        <v>63</v>
      </c>
      <c r="E11" s="22">
        <v>294652</v>
      </c>
    </row>
    <row r="12" spans="1:5" x14ac:dyDescent="0.2">
      <c r="D12" s="3" t="s">
        <v>61</v>
      </c>
      <c r="E12" s="22">
        <v>258301</v>
      </c>
    </row>
    <row r="45" spans="1:4" x14ac:dyDescent="0.2">
      <c r="A45" s="17" t="s">
        <v>86</v>
      </c>
      <c r="B45" s="18"/>
      <c r="C45" s="18"/>
      <c r="D45" s="18"/>
    </row>
    <row r="46" spans="1:4" x14ac:dyDescent="0.2">
      <c r="A46" s="18"/>
      <c r="B46" s="18"/>
      <c r="C46" s="18"/>
      <c r="D46" s="18"/>
    </row>
    <row r="50" spans="1:5" x14ac:dyDescent="0.2">
      <c r="D50" s="2" t="s">
        <v>72</v>
      </c>
      <c r="E50" t="s">
        <v>75</v>
      </c>
    </row>
    <row r="51" spans="1:5" x14ac:dyDescent="0.2">
      <c r="D51" s="3" t="s">
        <v>24</v>
      </c>
      <c r="E51" s="22">
        <v>53</v>
      </c>
    </row>
    <row r="52" spans="1:5" x14ac:dyDescent="0.2">
      <c r="D52" s="3" t="s">
        <v>28</v>
      </c>
      <c r="E52" s="22">
        <v>11</v>
      </c>
    </row>
    <row r="53" spans="1:5" x14ac:dyDescent="0.2">
      <c r="D53" s="3" t="s">
        <v>36</v>
      </c>
      <c r="E53" s="22">
        <v>54</v>
      </c>
    </row>
    <row r="54" spans="1:5" x14ac:dyDescent="0.2">
      <c r="D54" s="3" t="s">
        <v>33</v>
      </c>
      <c r="E54" s="22">
        <v>14</v>
      </c>
    </row>
    <row r="55" spans="1:5" x14ac:dyDescent="0.2">
      <c r="D55" s="3" t="s">
        <v>71</v>
      </c>
      <c r="E55" s="22">
        <v>132</v>
      </c>
    </row>
    <row r="64" spans="1:5" x14ac:dyDescent="0.2">
      <c r="A64" s="17" t="s">
        <v>87</v>
      </c>
      <c r="B64" s="18"/>
      <c r="C64" s="18"/>
      <c r="D64" s="18"/>
    </row>
    <row r="65" spans="1:5" x14ac:dyDescent="0.2">
      <c r="A65" s="18"/>
      <c r="B65" s="18"/>
      <c r="C65" s="18"/>
      <c r="D65" s="18"/>
    </row>
    <row r="69" spans="1:5" x14ac:dyDescent="0.2">
      <c r="D69" s="2" t="s">
        <v>72</v>
      </c>
      <c r="E69" t="s">
        <v>73</v>
      </c>
    </row>
    <row r="70" spans="1:5" x14ac:dyDescent="0.2">
      <c r="D70" s="3" t="s">
        <v>26</v>
      </c>
      <c r="E70" s="22">
        <v>722356</v>
      </c>
    </row>
    <row r="71" spans="1:5" x14ac:dyDescent="0.2">
      <c r="D71" s="3" t="s">
        <v>38</v>
      </c>
      <c r="E71" s="22">
        <v>1775448</v>
      </c>
    </row>
    <row r="72" spans="1:5" x14ac:dyDescent="0.2">
      <c r="D72" s="3" t="s">
        <v>30</v>
      </c>
      <c r="E72" s="22">
        <v>1564768</v>
      </c>
    </row>
    <row r="73" spans="1:5" x14ac:dyDescent="0.2">
      <c r="D73" s="3" t="s">
        <v>71</v>
      </c>
      <c r="E73" s="22">
        <v>4062572</v>
      </c>
    </row>
    <row r="77" spans="1:5" x14ac:dyDescent="0.2">
      <c r="A77" s="17" t="s">
        <v>88</v>
      </c>
      <c r="B77" s="18"/>
      <c r="C77" s="18"/>
      <c r="D77" s="18"/>
    </row>
    <row r="78" spans="1:5" x14ac:dyDescent="0.2">
      <c r="A78" s="18"/>
      <c r="B78" s="18"/>
      <c r="C78" s="18"/>
      <c r="D78" s="18"/>
    </row>
    <row r="80" spans="1:5" x14ac:dyDescent="0.2">
      <c r="D80" s="2" t="s">
        <v>74</v>
      </c>
      <c r="E80" s="2" t="s">
        <v>70</v>
      </c>
    </row>
    <row r="81" spans="4:9" x14ac:dyDescent="0.2">
      <c r="D81" s="2" t="s">
        <v>72</v>
      </c>
      <c r="E81" t="s">
        <v>22</v>
      </c>
      <c r="F81" t="s">
        <v>31</v>
      </c>
      <c r="G81" t="s">
        <v>34</v>
      </c>
      <c r="H81" t="s">
        <v>39</v>
      </c>
      <c r="I81" t="s">
        <v>71</v>
      </c>
    </row>
    <row r="82" spans="4:9" x14ac:dyDescent="0.2">
      <c r="D82" s="3" t="s">
        <v>23</v>
      </c>
      <c r="E82" s="22">
        <v>1.36</v>
      </c>
      <c r="F82" s="22">
        <v>0</v>
      </c>
      <c r="G82" s="22">
        <v>0</v>
      </c>
      <c r="H82" s="22">
        <v>0</v>
      </c>
      <c r="I82" s="22">
        <v>0.34</v>
      </c>
    </row>
    <row r="83" spans="4:9" x14ac:dyDescent="0.2">
      <c r="D83" s="3" t="s">
        <v>27</v>
      </c>
      <c r="E83" s="22">
        <v>3.18</v>
      </c>
      <c r="F83" s="22">
        <v>0.81</v>
      </c>
      <c r="G83" s="22">
        <v>0.65</v>
      </c>
      <c r="H83" s="22">
        <v>0.9</v>
      </c>
      <c r="I83" s="22">
        <v>1.3850000000000002</v>
      </c>
    </row>
    <row r="84" spans="4:9" x14ac:dyDescent="0.2">
      <c r="D84" s="3" t="s">
        <v>32</v>
      </c>
      <c r="E84" s="22"/>
      <c r="F84" s="22">
        <v>0</v>
      </c>
      <c r="G84" s="22">
        <v>0</v>
      </c>
      <c r="H84" s="22">
        <v>0.03</v>
      </c>
      <c r="I84" s="22">
        <v>0.01</v>
      </c>
    </row>
    <row r="85" spans="4:9" x14ac:dyDescent="0.2">
      <c r="D85" s="3" t="s">
        <v>35</v>
      </c>
      <c r="E85" s="22">
        <v>100</v>
      </c>
      <c r="F85" s="22">
        <v>100</v>
      </c>
      <c r="G85" s="22">
        <v>100</v>
      </c>
      <c r="H85" s="22">
        <v>100</v>
      </c>
      <c r="I85" s="22">
        <v>100</v>
      </c>
    </row>
    <row r="86" spans="4:9" x14ac:dyDescent="0.2">
      <c r="D86" s="3" t="s">
        <v>40</v>
      </c>
      <c r="E86" s="22">
        <v>100</v>
      </c>
      <c r="F86" s="22">
        <v>100</v>
      </c>
      <c r="G86" s="22">
        <v>100</v>
      </c>
      <c r="H86" s="22">
        <v>62.31</v>
      </c>
      <c r="I86" s="22">
        <v>90.577500000000001</v>
      </c>
    </row>
    <row r="87" spans="4:9" x14ac:dyDescent="0.2">
      <c r="D87" s="3" t="s">
        <v>41</v>
      </c>
      <c r="E87" s="22">
        <v>3.48</v>
      </c>
      <c r="F87" s="22">
        <v>5.7</v>
      </c>
      <c r="G87" s="22">
        <v>3.35</v>
      </c>
      <c r="H87" s="22">
        <v>0.64</v>
      </c>
      <c r="I87" s="22">
        <v>3.2925</v>
      </c>
    </row>
    <row r="88" spans="4:9" x14ac:dyDescent="0.2">
      <c r="D88" s="3" t="s">
        <v>42</v>
      </c>
      <c r="E88" s="22">
        <v>21.63</v>
      </c>
      <c r="F88" s="22">
        <v>15.39</v>
      </c>
      <c r="G88" s="22">
        <v>9.69</v>
      </c>
      <c r="H88" s="22">
        <v>5.18</v>
      </c>
      <c r="I88" s="22">
        <v>12.972499999999998</v>
      </c>
    </row>
    <row r="89" spans="4:9" x14ac:dyDescent="0.2">
      <c r="D89" s="3" t="s">
        <v>43</v>
      </c>
      <c r="E89" s="22">
        <v>8.2899999999999991</v>
      </c>
      <c r="F89" s="22">
        <v>3.83</v>
      </c>
      <c r="G89" s="22">
        <v>3.22</v>
      </c>
      <c r="H89" s="22">
        <v>0.64</v>
      </c>
      <c r="I89" s="22">
        <v>3.9950000000000001</v>
      </c>
    </row>
    <row r="90" spans="4:9" x14ac:dyDescent="0.2">
      <c r="D90" s="3" t="s">
        <v>44</v>
      </c>
      <c r="E90" s="22">
        <v>7.0000000000000007E-2</v>
      </c>
      <c r="F90" s="22">
        <v>0.06</v>
      </c>
      <c r="G90" s="22">
        <v>0.05</v>
      </c>
      <c r="H90" s="22">
        <v>0.03</v>
      </c>
      <c r="I90" s="22">
        <v>5.2499999999999998E-2</v>
      </c>
    </row>
    <row r="91" spans="4:9" x14ac:dyDescent="0.2">
      <c r="D91" s="3" t="s">
        <v>45</v>
      </c>
      <c r="E91" s="22">
        <v>0.88</v>
      </c>
      <c r="F91" s="22">
        <v>0.49</v>
      </c>
      <c r="G91" s="22">
        <v>0.46</v>
      </c>
      <c r="H91" s="22">
        <v>0.3</v>
      </c>
      <c r="I91" s="22">
        <v>0.53249999999999997</v>
      </c>
    </row>
    <row r="92" spans="4:9" x14ac:dyDescent="0.2">
      <c r="D92" s="3" t="s">
        <v>46</v>
      </c>
      <c r="E92" s="22">
        <v>80.12</v>
      </c>
      <c r="F92" s="22">
        <v>16.03</v>
      </c>
      <c r="G92" s="22">
        <v>7.65</v>
      </c>
      <c r="H92" s="22">
        <v>9.36</v>
      </c>
      <c r="I92" s="22">
        <v>28.290000000000003</v>
      </c>
    </row>
    <row r="93" spans="4:9" x14ac:dyDescent="0.2">
      <c r="D93" s="3" t="s">
        <v>47</v>
      </c>
      <c r="E93" s="22">
        <v>0.92</v>
      </c>
      <c r="F93" s="22">
        <v>0.42</v>
      </c>
      <c r="G93" s="22">
        <v>0.26</v>
      </c>
      <c r="H93" s="22">
        <v>0.1</v>
      </c>
      <c r="I93" s="22">
        <v>0.42500000000000004</v>
      </c>
    </row>
    <row r="94" spans="4:9" x14ac:dyDescent="0.2">
      <c r="D94" s="3" t="s">
        <v>48</v>
      </c>
      <c r="E94" s="22">
        <v>2.2000000000000002</v>
      </c>
      <c r="F94" s="22">
        <v>52.25</v>
      </c>
      <c r="G94" s="22">
        <v>53.14</v>
      </c>
      <c r="H94" s="22">
        <v>14.21</v>
      </c>
      <c r="I94" s="22">
        <v>30.450000000000003</v>
      </c>
    </row>
    <row r="95" spans="4:9" x14ac:dyDescent="0.2">
      <c r="D95" s="3" t="s">
        <v>49</v>
      </c>
      <c r="E95" s="22">
        <v>42.06</v>
      </c>
      <c r="F95" s="22">
        <v>43.27</v>
      </c>
      <c r="G95" s="22">
        <v>29.26</v>
      </c>
      <c r="H95" s="22">
        <v>24.03</v>
      </c>
      <c r="I95" s="22">
        <v>34.655000000000001</v>
      </c>
    </row>
    <row r="96" spans="4:9" x14ac:dyDescent="0.2">
      <c r="D96" s="3" t="s">
        <v>50</v>
      </c>
      <c r="E96" s="22">
        <v>1.44</v>
      </c>
      <c r="F96" s="22">
        <v>0.99</v>
      </c>
      <c r="G96" s="22">
        <v>0.47</v>
      </c>
      <c r="H96" s="22">
        <v>0.36</v>
      </c>
      <c r="I96" s="22">
        <v>0.81499999999999984</v>
      </c>
    </row>
    <row r="97" spans="4:26" x14ac:dyDescent="0.2">
      <c r="D97" s="3" t="s">
        <v>51</v>
      </c>
      <c r="E97" s="22">
        <v>0.78</v>
      </c>
      <c r="F97" s="22">
        <v>0.62</v>
      </c>
      <c r="G97" s="22">
        <v>0.45</v>
      </c>
      <c r="H97" s="22">
        <v>0.6</v>
      </c>
      <c r="I97" s="22">
        <v>0.61249999999999993</v>
      </c>
    </row>
    <row r="98" spans="4:26" x14ac:dyDescent="0.2">
      <c r="D98" s="3" t="s">
        <v>52</v>
      </c>
      <c r="E98" s="22">
        <v>26.73</v>
      </c>
      <c r="F98" s="22">
        <v>25.89</v>
      </c>
      <c r="G98" s="22">
        <v>20.059999999999999</v>
      </c>
      <c r="H98" s="22">
        <v>5.76</v>
      </c>
      <c r="I98" s="22">
        <v>19.610000000000003</v>
      </c>
    </row>
    <row r="99" spans="4:26" x14ac:dyDescent="0.2">
      <c r="D99" s="3" t="s">
        <v>53</v>
      </c>
      <c r="E99" s="22">
        <v>0.52</v>
      </c>
      <c r="F99" s="22">
        <v>0.55000000000000004</v>
      </c>
      <c r="G99" s="22">
        <v>0.84</v>
      </c>
      <c r="H99" s="22">
        <v>0.3</v>
      </c>
      <c r="I99" s="22">
        <v>0.55249999999999999</v>
      </c>
    </row>
    <row r="100" spans="4:26" x14ac:dyDescent="0.2">
      <c r="D100" s="3" t="s">
        <v>54</v>
      </c>
      <c r="E100" s="22"/>
      <c r="F100" s="22">
        <v>100</v>
      </c>
      <c r="G100" s="22">
        <v>9.33</v>
      </c>
      <c r="H100" s="22">
        <v>8.2100000000000009</v>
      </c>
      <c r="I100" s="22">
        <v>39.18</v>
      </c>
    </row>
    <row r="101" spans="4:26" x14ac:dyDescent="0.2">
      <c r="D101" s="3" t="s">
        <v>55</v>
      </c>
      <c r="E101" s="22">
        <v>0.67</v>
      </c>
      <c r="F101" s="22">
        <v>0.82</v>
      </c>
      <c r="G101" s="22">
        <v>0.95</v>
      </c>
      <c r="H101" s="22">
        <v>5.04</v>
      </c>
      <c r="I101" s="22">
        <v>1.87</v>
      </c>
    </row>
    <row r="102" spans="4:26" x14ac:dyDescent="0.2">
      <c r="D102" s="3" t="s">
        <v>56</v>
      </c>
      <c r="E102" s="22"/>
      <c r="F102" s="22"/>
      <c r="G102" s="22"/>
      <c r="H102" s="22">
        <v>0</v>
      </c>
      <c r="I102" s="22">
        <v>0</v>
      </c>
    </row>
    <row r="103" spans="4:26" x14ac:dyDescent="0.2">
      <c r="D103" s="3" t="s">
        <v>57</v>
      </c>
      <c r="E103" s="22"/>
      <c r="F103" s="22"/>
      <c r="G103" s="22">
        <v>0</v>
      </c>
      <c r="H103" s="22">
        <v>0</v>
      </c>
      <c r="I103" s="22">
        <v>0</v>
      </c>
    </row>
    <row r="104" spans="4:26" x14ac:dyDescent="0.2">
      <c r="D104" s="3" t="s">
        <v>58</v>
      </c>
      <c r="E104" s="22">
        <v>10.38</v>
      </c>
      <c r="F104" s="22">
        <v>5.14</v>
      </c>
      <c r="G104" s="22">
        <v>3.57</v>
      </c>
      <c r="H104" s="22">
        <v>1.1299999999999999</v>
      </c>
      <c r="I104" s="22">
        <v>5.0549999999999997</v>
      </c>
    </row>
    <row r="105" spans="4:26" x14ac:dyDescent="0.2">
      <c r="D105" s="3" t="s">
        <v>59</v>
      </c>
      <c r="E105" s="22">
        <v>0.44</v>
      </c>
      <c r="F105" s="22">
        <v>0.56999999999999995</v>
      </c>
      <c r="G105" s="22">
        <v>1.02</v>
      </c>
      <c r="H105" s="22">
        <v>2.44</v>
      </c>
      <c r="I105" s="22">
        <v>1.1175000000000002</v>
      </c>
    </row>
    <row r="106" spans="4:26" x14ac:dyDescent="0.2">
      <c r="D106" s="3" t="s">
        <v>60</v>
      </c>
      <c r="E106" s="22">
        <v>40.450000000000003</v>
      </c>
      <c r="F106" s="22">
        <v>100</v>
      </c>
      <c r="G106" s="22">
        <v>20.66</v>
      </c>
      <c r="H106" s="22">
        <v>2.4500000000000002</v>
      </c>
      <c r="I106" s="22">
        <v>40.889999999999993</v>
      </c>
    </row>
    <row r="107" spans="4:26" x14ac:dyDescent="0.2">
      <c r="D107" s="3" t="s">
        <v>61</v>
      </c>
      <c r="E107" s="22">
        <v>16.13</v>
      </c>
      <c r="F107" s="22">
        <v>15.42</v>
      </c>
      <c r="G107" s="22">
        <v>6.62</v>
      </c>
      <c r="H107" s="22">
        <v>1.31</v>
      </c>
      <c r="I107" s="22">
        <v>9.8699999999999992</v>
      </c>
    </row>
    <row r="108" spans="4:26" x14ac:dyDescent="0.2">
      <c r="D108" s="3" t="s">
        <v>62</v>
      </c>
      <c r="E108" s="22"/>
      <c r="F108" s="22"/>
      <c r="G108" s="22"/>
      <c r="H108" s="22">
        <v>0</v>
      </c>
      <c r="I108" s="22">
        <v>0</v>
      </c>
    </row>
    <row r="109" spans="4:26" x14ac:dyDescent="0.2">
      <c r="D109" s="3" t="s">
        <v>63</v>
      </c>
      <c r="E109" s="22">
        <v>4.49</v>
      </c>
      <c r="F109" s="22">
        <v>1.1000000000000001</v>
      </c>
      <c r="G109" s="22">
        <v>0.89</v>
      </c>
      <c r="H109" s="22">
        <v>0.49</v>
      </c>
      <c r="I109" s="22">
        <v>1.7424999999999999</v>
      </c>
    </row>
    <row r="110" spans="4:26" x14ac:dyDescent="0.2">
      <c r="D110" s="3" t="s">
        <v>64</v>
      </c>
      <c r="E110" s="22"/>
      <c r="F110" s="22"/>
      <c r="G110" s="22"/>
      <c r="H110" s="22">
        <v>0</v>
      </c>
      <c r="I110" s="22">
        <v>0</v>
      </c>
    </row>
    <row r="111" spans="4:26" x14ac:dyDescent="0.2">
      <c r="D111" s="3" t="s">
        <v>65</v>
      </c>
      <c r="E111" s="22">
        <v>100</v>
      </c>
      <c r="F111" s="22"/>
      <c r="G111" s="22">
        <v>100</v>
      </c>
      <c r="H111" s="22">
        <v>100</v>
      </c>
      <c r="I111" s="22">
        <v>100</v>
      </c>
    </row>
    <row r="112" spans="4:26" x14ac:dyDescent="0.2">
      <c r="D112" s="3" t="s">
        <v>66</v>
      </c>
      <c r="E112" s="22">
        <v>100</v>
      </c>
      <c r="F112" s="22">
        <v>100</v>
      </c>
      <c r="G112" s="22">
        <v>50.78</v>
      </c>
      <c r="H112" s="22">
        <v>16.18</v>
      </c>
      <c r="I112" s="22">
        <v>66.739999999999995</v>
      </c>
      <c r="W112" s="19"/>
      <c r="X112" s="20"/>
      <c r="Y112" s="20"/>
      <c r="Z112" s="20"/>
    </row>
    <row r="113" spans="1:26" x14ac:dyDescent="0.2">
      <c r="D113" s="3" t="s">
        <v>67</v>
      </c>
      <c r="E113" s="22">
        <v>32.630000000000003</v>
      </c>
      <c r="F113" s="22">
        <v>24.56</v>
      </c>
      <c r="G113" s="22">
        <v>21.76</v>
      </c>
      <c r="H113" s="22">
        <v>5.14</v>
      </c>
      <c r="I113" s="22">
        <v>21.022500000000001</v>
      </c>
      <c r="W113" s="20"/>
      <c r="X113" s="20"/>
      <c r="Y113" s="20"/>
      <c r="Z113" s="20"/>
    </row>
    <row r="114" spans="1:26" x14ac:dyDescent="0.2">
      <c r="D114" s="3" t="s">
        <v>68</v>
      </c>
      <c r="E114" s="22">
        <v>15.44</v>
      </c>
      <c r="F114" s="22">
        <v>1.85</v>
      </c>
      <c r="G114" s="22">
        <v>2.79</v>
      </c>
      <c r="H114" s="22">
        <v>22.26</v>
      </c>
      <c r="I114" s="22">
        <v>10.585000000000001</v>
      </c>
    </row>
    <row r="115" spans="1:26" x14ac:dyDescent="0.2">
      <c r="D115" s="3" t="s">
        <v>71</v>
      </c>
      <c r="E115" s="22">
        <v>26.455185185185186</v>
      </c>
      <c r="F115" s="22">
        <v>25.562857142857137</v>
      </c>
      <c r="G115" s="22">
        <v>18.263999999999999</v>
      </c>
      <c r="H115" s="22">
        <v>11.799999999999999</v>
      </c>
      <c r="I115" s="22">
        <v>20.062457627118647</v>
      </c>
    </row>
    <row r="117" spans="1:26" x14ac:dyDescent="0.2">
      <c r="A117" s="17" t="s">
        <v>89</v>
      </c>
      <c r="B117" s="18"/>
      <c r="C117" s="18"/>
      <c r="D117" s="18"/>
    </row>
    <row r="118" spans="1:26" x14ac:dyDescent="0.2">
      <c r="A118" s="18"/>
      <c r="B118" s="18"/>
      <c r="C118" s="18"/>
      <c r="D118" s="18"/>
    </row>
    <row r="123" spans="1:26" x14ac:dyDescent="0.2">
      <c r="D123" s="2" t="s">
        <v>72</v>
      </c>
      <c r="E123" t="s">
        <v>73</v>
      </c>
    </row>
    <row r="124" spans="1:26" x14ac:dyDescent="0.2">
      <c r="D124" s="3" t="s">
        <v>25</v>
      </c>
      <c r="E124" s="22">
        <v>1939327</v>
      </c>
    </row>
    <row r="125" spans="1:26" x14ac:dyDescent="0.2">
      <c r="D125" s="3" t="s">
        <v>29</v>
      </c>
      <c r="E125" s="22">
        <v>1108014</v>
      </c>
    </row>
    <row r="126" spans="1:26" ht="15" customHeight="1" x14ac:dyDescent="0.4">
      <c r="D126" s="3" t="s">
        <v>37</v>
      </c>
      <c r="E126" s="22">
        <v>1015231</v>
      </c>
      <c r="W126" s="9"/>
      <c r="X126" s="10"/>
      <c r="Y126" s="10"/>
      <c r="Z126" s="10"/>
    </row>
    <row r="127" spans="1:26" ht="15" x14ac:dyDescent="0.25">
      <c r="D127" s="3" t="s">
        <v>71</v>
      </c>
      <c r="E127" s="22">
        <v>4062572</v>
      </c>
      <c r="W127" s="10"/>
      <c r="X127" s="10"/>
      <c r="Y127" s="10"/>
      <c r="Z127" s="10"/>
    </row>
    <row r="133" spans="1:32" ht="15" customHeight="1" x14ac:dyDescent="0.2">
      <c r="A133" s="17" t="s">
        <v>124</v>
      </c>
      <c r="B133" s="18"/>
      <c r="C133" s="18"/>
      <c r="D133" s="18"/>
      <c r="AF133" s="8"/>
    </row>
    <row r="134" spans="1:32" ht="15" customHeight="1" x14ac:dyDescent="0.2">
      <c r="A134" s="18"/>
      <c r="B134" s="18"/>
      <c r="C134" s="18"/>
      <c r="D134" s="18"/>
      <c r="AF134" s="8"/>
    </row>
    <row r="135" spans="1:32" x14ac:dyDescent="0.2">
      <c r="AF135" s="8"/>
    </row>
    <row r="136" spans="1:32" x14ac:dyDescent="0.2">
      <c r="AF136" s="8"/>
    </row>
    <row r="137" spans="1:32" ht="15" x14ac:dyDescent="0.25">
      <c r="C137" s="23" t="s">
        <v>111</v>
      </c>
      <c r="D137" s="23" t="s">
        <v>110</v>
      </c>
      <c r="E137" s="23" t="s">
        <v>112</v>
      </c>
      <c r="AF137" s="8"/>
    </row>
    <row r="138" spans="1:32" x14ac:dyDescent="0.2">
      <c r="C138">
        <v>1</v>
      </c>
      <c r="D138" t="s">
        <v>113</v>
      </c>
      <c r="E138">
        <f>GETPIVOTDATA("Sum of Total_EV_Sales",D238)</f>
        <v>4062572</v>
      </c>
    </row>
    <row r="139" spans="1:32" x14ac:dyDescent="0.2">
      <c r="C139">
        <f>SUM(C138+1)</f>
        <v>2</v>
      </c>
      <c r="D139" t="s">
        <v>120</v>
      </c>
      <c r="E139" t="str">
        <f>(COUNTIFS(Master_query[Buyer_Type],"Luxury",Master_query[Year],"2024")
-COUNTIFS(Master_query[Buyer_Type],"Luxury",Master_query[Year],"2021"))
/COUNTIFS(Master_query[Buyer_Type],"Luxury",Master_query[Year],"2021")*100&amp; "% "</f>
        <v xml:space="preserve">100% </v>
      </c>
    </row>
    <row r="140" spans="1:32" x14ac:dyDescent="0.2">
      <c r="C140">
        <f t="shared" ref="C140:C144" si="0">SUM(C139+1)</f>
        <v>3</v>
      </c>
      <c r="D140" t="s">
        <v>121</v>
      </c>
      <c r="E140" t="str">
        <f>ROUND(SUMIF(Master_query[Power_Status],"High Risk",Master_query[Total_EV_Sales])/SUM(Master_query[Total_EV_Sales])*100,2)&amp;"%"</f>
        <v>17.78%</v>
      </c>
    </row>
    <row r="141" spans="1:32" x14ac:dyDescent="0.2">
      <c r="C141">
        <f t="shared" si="0"/>
        <v>4</v>
      </c>
      <c r="D141" t="s">
        <v>122</v>
      </c>
      <c r="E141">
        <f>MAX(Master_query[EV_Readiness_Score])-MIN(Master_query[EV_Readiness_Score])</f>
        <v>57</v>
      </c>
    </row>
    <row r="145" spans="1:26" x14ac:dyDescent="0.2">
      <c r="A145" s="24"/>
      <c r="B145" s="24"/>
      <c r="C145" s="24"/>
      <c r="D145" s="24"/>
      <c r="E145" s="24"/>
      <c r="Z145" s="6"/>
    </row>
    <row r="146" spans="1:26" x14ac:dyDescent="0.2">
      <c r="A146" s="24"/>
      <c r="B146" s="24"/>
      <c r="C146" s="24"/>
      <c r="D146" s="24"/>
      <c r="E146" s="24"/>
    </row>
    <row r="147" spans="1:26" x14ac:dyDescent="0.2">
      <c r="A147" s="24"/>
      <c r="B147" s="24"/>
      <c r="C147" s="24"/>
      <c r="D147" s="24"/>
      <c r="E147" s="24"/>
    </row>
    <row r="148" spans="1:26" x14ac:dyDescent="0.2">
      <c r="A148" s="24"/>
      <c r="B148" s="24"/>
      <c r="C148" s="24"/>
      <c r="D148" s="24"/>
      <c r="E148" s="24"/>
    </row>
    <row r="149" spans="1:26" x14ac:dyDescent="0.2">
      <c r="A149" s="24"/>
      <c r="B149" s="24"/>
      <c r="C149" s="24"/>
      <c r="D149" s="24"/>
      <c r="E149" s="24"/>
    </row>
    <row r="150" spans="1:26" ht="14.25" customHeight="1" x14ac:dyDescent="0.4">
      <c r="A150" s="25"/>
      <c r="B150" s="26"/>
      <c r="C150" s="26"/>
      <c r="D150" s="26"/>
      <c r="E150" s="24"/>
    </row>
    <row r="151" spans="1:26" ht="14.25" customHeight="1" x14ac:dyDescent="0.25">
      <c r="A151" s="26"/>
      <c r="B151" s="26"/>
      <c r="C151" s="26"/>
      <c r="D151" s="26"/>
      <c r="E151" s="24"/>
    </row>
    <row r="152" spans="1:26" x14ac:dyDescent="0.2">
      <c r="A152" s="24"/>
      <c r="B152" s="24"/>
      <c r="C152" s="24"/>
      <c r="D152" s="24"/>
      <c r="E152" s="24"/>
    </row>
    <row r="153" spans="1:26" x14ac:dyDescent="0.2">
      <c r="A153" s="24"/>
      <c r="B153" s="24"/>
      <c r="C153" s="24"/>
      <c r="D153" s="24"/>
      <c r="E153" s="24"/>
    </row>
    <row r="154" spans="1:26" x14ac:dyDescent="0.2">
      <c r="A154" s="24"/>
      <c r="B154" s="24"/>
      <c r="C154" s="24"/>
      <c r="D154" s="24"/>
      <c r="E154" s="24"/>
    </row>
    <row r="155" spans="1:26" x14ac:dyDescent="0.2">
      <c r="A155" s="24"/>
      <c r="B155" s="24"/>
      <c r="C155" s="24"/>
      <c r="D155" s="24"/>
      <c r="E155" s="24"/>
    </row>
    <row r="156" spans="1:26" x14ac:dyDescent="0.2">
      <c r="A156" s="24"/>
      <c r="B156" s="24"/>
      <c r="C156" s="24"/>
      <c r="D156" s="24"/>
      <c r="E156" s="24"/>
    </row>
    <row r="157" spans="1:26" x14ac:dyDescent="0.2">
      <c r="A157" s="24"/>
      <c r="B157" s="24"/>
      <c r="C157" s="24"/>
      <c r="D157" s="24"/>
      <c r="E157" s="24"/>
    </row>
    <row r="158" spans="1:26" x14ac:dyDescent="0.2">
      <c r="A158" s="24"/>
      <c r="B158" s="24"/>
      <c r="C158" s="24"/>
      <c r="D158" s="24"/>
      <c r="E158" s="24"/>
    </row>
    <row r="159" spans="1:26" x14ac:dyDescent="0.2">
      <c r="A159" s="24"/>
      <c r="B159" s="24"/>
      <c r="C159" s="24"/>
      <c r="D159" s="24"/>
      <c r="E159" s="24"/>
    </row>
    <row r="166" spans="1:5" x14ac:dyDescent="0.2">
      <c r="A166" s="17" t="s">
        <v>90</v>
      </c>
      <c r="B166" s="18"/>
      <c r="C166" s="18"/>
      <c r="D166" s="18"/>
    </row>
    <row r="167" spans="1:5" x14ac:dyDescent="0.2">
      <c r="A167" s="18"/>
      <c r="B167" s="18"/>
      <c r="C167" s="18"/>
      <c r="D167" s="18"/>
    </row>
    <row r="171" spans="1:5" x14ac:dyDescent="0.2">
      <c r="C171" s="2" t="s">
        <v>72</v>
      </c>
      <c r="D171" t="s">
        <v>116</v>
      </c>
      <c r="E171" t="s">
        <v>117</v>
      </c>
    </row>
    <row r="172" spans="1:5" x14ac:dyDescent="0.2">
      <c r="C172" s="3" t="s">
        <v>22</v>
      </c>
      <c r="D172" s="22">
        <v>12999</v>
      </c>
      <c r="E172" s="22">
        <v>159909</v>
      </c>
    </row>
    <row r="173" spans="1:5" x14ac:dyDescent="0.2">
      <c r="C173" s="3" t="s">
        <v>31</v>
      </c>
      <c r="D173" s="22">
        <v>38144</v>
      </c>
      <c r="E173" s="22">
        <v>352722</v>
      </c>
    </row>
    <row r="174" spans="1:5" x14ac:dyDescent="0.2">
      <c r="C174" s="3" t="s">
        <v>34</v>
      </c>
      <c r="D174" s="22">
        <v>80078</v>
      </c>
      <c r="E174" s="22">
        <v>582530</v>
      </c>
    </row>
    <row r="175" spans="1:5" x14ac:dyDescent="0.2">
      <c r="C175" s="3" t="s">
        <v>39</v>
      </c>
      <c r="D175" s="22">
        <v>102301</v>
      </c>
      <c r="E175" s="22">
        <v>329466</v>
      </c>
    </row>
    <row r="176" spans="1:5" x14ac:dyDescent="0.2">
      <c r="C176" s="3" t="s">
        <v>71</v>
      </c>
      <c r="D176" s="22">
        <v>233522</v>
      </c>
      <c r="E176" s="22">
        <v>1424627</v>
      </c>
    </row>
    <row r="184" spans="1:5" x14ac:dyDescent="0.2">
      <c r="A184" s="17" t="s">
        <v>123</v>
      </c>
      <c r="B184" s="18"/>
      <c r="C184" s="18"/>
      <c r="D184" s="18"/>
    </row>
    <row r="185" spans="1:5" x14ac:dyDescent="0.2">
      <c r="A185" s="18"/>
      <c r="B185" s="18"/>
      <c r="C185" s="18"/>
      <c r="D185" s="18"/>
    </row>
    <row r="190" spans="1:5" ht="15" x14ac:dyDescent="0.25">
      <c r="C190" s="27" t="s">
        <v>1</v>
      </c>
      <c r="D190" s="23" t="s">
        <v>118</v>
      </c>
      <c r="E190" s="23" t="s">
        <v>119</v>
      </c>
    </row>
    <row r="191" spans="1:5" x14ac:dyDescent="0.2">
      <c r="C191" t="s">
        <v>23</v>
      </c>
      <c r="D191">
        <f>AVERAGEIF(Master_query[State],C191,Master_query[Per_Capita_Income])</f>
        <v>173272.25</v>
      </c>
      <c r="E191">
        <f>AVERAGEIF(Master_query[State],C191,Master_query[4W EV Penetration])</f>
        <v>1.4125000000000002E-2</v>
      </c>
    </row>
    <row r="192" spans="1:5" x14ac:dyDescent="0.2">
      <c r="C192" t="s">
        <v>27</v>
      </c>
      <c r="D192">
        <f>AVERAGEIF(Master_query[State],C192,Master_query[Per_Capita_Income])</f>
        <v>206909.25</v>
      </c>
      <c r="E192">
        <f>AVERAGEIF(Master_query[State],C192,Master_query[4W EV Penetration])</f>
        <v>2.8075000000000003E-2</v>
      </c>
    </row>
    <row r="193" spans="3:5" x14ac:dyDescent="0.2">
      <c r="C193" t="s">
        <v>32</v>
      </c>
      <c r="D193">
        <f>AVERAGEIF(Master_query[State],C193,Master_query[Per_Capita_Income])</f>
        <v>143095</v>
      </c>
      <c r="E193">
        <f>AVERAGEIF(Master_query[State],C193,Master_query[4W EV Penetration])</f>
        <v>1.2999999999999999E-3</v>
      </c>
    </row>
    <row r="194" spans="3:5" x14ac:dyDescent="0.2">
      <c r="C194" t="s">
        <v>35</v>
      </c>
      <c r="D194">
        <f>AVERAGEIF(Master_query[State],C194,Master_query[Per_Capita_Income])</f>
        <v>111353.25</v>
      </c>
      <c r="E194">
        <f>AVERAGEIF(Master_query[State],C194,Master_query[4W EV Penetration])</f>
        <v>2.875E-3</v>
      </c>
    </row>
    <row r="195" spans="3:5" x14ac:dyDescent="0.2">
      <c r="C195" t="s">
        <v>40</v>
      </c>
      <c r="D195">
        <f>AVERAGEIF(Master_query[State],C195,Master_query[Per_Capita_Income])</f>
        <v>50809.75</v>
      </c>
      <c r="E195">
        <f>AVERAGEIF(Master_query[State],C195,Master_query[4W EV Penetration])</f>
        <v>6.2249999999999996E-3</v>
      </c>
    </row>
    <row r="196" spans="3:5" x14ac:dyDescent="0.2">
      <c r="C196" t="s">
        <v>41</v>
      </c>
      <c r="D196">
        <f>AVERAGEIF(Master_query[State],C196,Master_query[Per_Capita_Income])</f>
        <v>256869.25</v>
      </c>
      <c r="E196">
        <f>AVERAGEIF(Master_query[State],C196,Master_query[4W EV Penetration])</f>
        <v>4.3475E-2</v>
      </c>
    </row>
    <row r="197" spans="3:5" x14ac:dyDescent="0.2">
      <c r="C197" t="s">
        <v>42</v>
      </c>
      <c r="D197">
        <f>AVERAGEIF(Master_query[State],C197,Master_query[Per_Capita_Income])</f>
        <v>128435.25</v>
      </c>
      <c r="E197">
        <f>AVERAGEIF(Master_query[State],C197,Master_query[4W EV Penetration])</f>
        <v>1.6424999999999999E-2</v>
      </c>
    </row>
    <row r="198" spans="3:5" x14ac:dyDescent="0.2">
      <c r="C198" t="s">
        <v>43</v>
      </c>
      <c r="D198">
        <f>AVERAGEIF(Master_query[State],C198,Master_query[Per_Capita_Income])</f>
        <v>397639.5</v>
      </c>
      <c r="E198">
        <f>AVERAGEIF(Master_query[State],C198,Master_query[4W EV Penetration])</f>
        <v>4.8875000000000002E-2</v>
      </c>
    </row>
    <row r="199" spans="3:5" x14ac:dyDescent="0.2">
      <c r="C199" t="s">
        <v>44</v>
      </c>
      <c r="D199">
        <f>AVERAGEIF(Master_query[State],C199,Master_query[Per_Capita_Income])</f>
        <v>343697.25</v>
      </c>
      <c r="E199">
        <f>AVERAGEIF(Master_query[State],C199,Master_query[4W EV Penetration])</f>
        <v>4.2025000000000007E-2</v>
      </c>
    </row>
    <row r="200" spans="3:5" x14ac:dyDescent="0.2">
      <c r="C200" t="s">
        <v>45</v>
      </c>
      <c r="D200">
        <f>AVERAGEIF(Master_query[State],C200,Master_query[Per_Capita_Income])</f>
        <v>180339.75</v>
      </c>
      <c r="E200">
        <f>AVERAGEIF(Master_query[State],C200,Master_query[4W EV Penetration])</f>
        <v>1.9700000000000002E-2</v>
      </c>
    </row>
    <row r="201" spans="3:5" x14ac:dyDescent="0.2">
      <c r="C201" t="s">
        <v>46</v>
      </c>
      <c r="D201">
        <f>AVERAGEIF(Master_query[State],C201,Master_query[Per_Capita_Income])</f>
        <v>277916.75</v>
      </c>
      <c r="E201">
        <f>AVERAGEIF(Master_query[State],C201,Master_query[4W EV Penetration])</f>
        <v>4.875E-3</v>
      </c>
    </row>
    <row r="202" spans="3:5" x14ac:dyDescent="0.2">
      <c r="C202" t="s">
        <v>47</v>
      </c>
      <c r="D202">
        <f>AVERAGEIF(Master_query[State],C202,Master_query[Per_Capita_Income])</f>
        <v>205733.5</v>
      </c>
      <c r="E202">
        <f>AVERAGEIF(Master_query[State],C202,Master_query[4W EV Penetration])</f>
        <v>4.0499999999999998E-3</v>
      </c>
    </row>
    <row r="203" spans="3:5" x14ac:dyDescent="0.2">
      <c r="C203" t="s">
        <v>48</v>
      </c>
      <c r="D203">
        <f>AVERAGEIF(Master_query[State],C203,Master_query[Per_Capita_Income])</f>
        <v>121793.25</v>
      </c>
      <c r="E203">
        <f>AVERAGEIF(Master_query[State],C203,Master_query[4W EV Penetration])</f>
        <v>3.3499999999999997E-3</v>
      </c>
    </row>
    <row r="204" spans="3:5" x14ac:dyDescent="0.2">
      <c r="C204" t="s">
        <v>49</v>
      </c>
      <c r="D204">
        <f>AVERAGEIF(Master_query[State],C204,Master_query[Per_Capita_Income])</f>
        <v>90046.5</v>
      </c>
      <c r="E204">
        <f>AVERAGEIF(Master_query[State],C204,Master_query[4W EV Penetration])</f>
        <v>5.9500000000000004E-3</v>
      </c>
    </row>
    <row r="205" spans="3:5" x14ac:dyDescent="0.2">
      <c r="C205" t="s">
        <v>50</v>
      </c>
      <c r="D205">
        <f>AVERAGEIF(Master_query[State],C205,Master_query[Per_Capita_Income])</f>
        <v>281511.75</v>
      </c>
      <c r="E205">
        <f>AVERAGEIF(Master_query[State],C205,Master_query[4W EV Penetration])</f>
        <v>3.4049999999999997E-2</v>
      </c>
    </row>
    <row r="206" spans="3:5" x14ac:dyDescent="0.2">
      <c r="C206" t="s">
        <v>51</v>
      </c>
      <c r="D206">
        <f>AVERAGEIF(Master_query[State],C206,Master_query[Per_Capita_Income])</f>
        <v>239593.75</v>
      </c>
      <c r="E206">
        <f>AVERAGEIF(Master_query[State],C206,Master_query[4W EV Penetration])</f>
        <v>3.755E-2</v>
      </c>
    </row>
    <row r="207" spans="3:5" x14ac:dyDescent="0.2">
      <c r="C207" t="s">
        <v>52</v>
      </c>
      <c r="D207">
        <f>AVERAGEIF(Master_query[State],C207,Master_query[Per_Capita_Income])</f>
        <v>123317.75</v>
      </c>
      <c r="E207">
        <f>AVERAGEIF(Master_query[State],C207,Master_query[4W EV Penetration])</f>
        <v>9.4000000000000004E-3</v>
      </c>
    </row>
    <row r="208" spans="3:5" x14ac:dyDescent="0.2">
      <c r="C208" t="s">
        <v>53</v>
      </c>
      <c r="D208">
        <f>AVERAGEIF(Master_query[State],C208,Master_query[Per_Capita_Income])</f>
        <v>233004.75</v>
      </c>
      <c r="E208">
        <f>AVERAGEIF(Master_query[State],C208,Master_query[4W EV Penetration])</f>
        <v>3.2524999999999998E-2</v>
      </c>
    </row>
    <row r="209" spans="3:5" x14ac:dyDescent="0.2">
      <c r="C209" t="s">
        <v>54</v>
      </c>
      <c r="D209">
        <f>AVERAGEIF(Master_query[State],C209,Master_query[Per_Capita_Income])</f>
        <v>71615.75</v>
      </c>
      <c r="E209">
        <f>AVERAGEIF(Master_query[State],C209,Master_query[4W EV Penetration])</f>
        <v>6.5749999999999992E-3</v>
      </c>
    </row>
    <row r="210" spans="3:5" x14ac:dyDescent="0.2">
      <c r="C210" t="s">
        <v>55</v>
      </c>
      <c r="D210">
        <f>AVERAGEIF(Master_query[State],C210,Master_query[Per_Capita_Income])</f>
        <v>114891.5</v>
      </c>
      <c r="E210">
        <f>AVERAGEIF(Master_query[State],C210,Master_query[4W EV Penetration])</f>
        <v>2.8999999999999998E-3</v>
      </c>
    </row>
    <row r="211" spans="3:5" x14ac:dyDescent="0.2">
      <c r="C211" t="s">
        <v>56</v>
      </c>
      <c r="D211">
        <f>AVERAGEIF(Master_query[State],C211,Master_query[Per_Capita_Income])</f>
        <v>144907.5</v>
      </c>
      <c r="E211">
        <f>AVERAGEIF(Master_query[State],C211,Master_query[4W EV Penetration])</f>
        <v>1.175E-3</v>
      </c>
    </row>
    <row r="212" spans="3:5" x14ac:dyDescent="0.2">
      <c r="C212" t="s">
        <v>57</v>
      </c>
      <c r="D212">
        <f>AVERAGEIF(Master_query[State],C212,Master_query[Per_Capita_Income])</f>
        <v>98135.75</v>
      </c>
      <c r="E212">
        <f>AVERAGEIF(Master_query[State],C212,Master_query[4W EV Penetration])</f>
        <v>5.7499999999999999E-4</v>
      </c>
    </row>
    <row r="213" spans="3:5" x14ac:dyDescent="0.2">
      <c r="C213" t="s">
        <v>58</v>
      </c>
      <c r="D213">
        <f>AVERAGEIF(Master_query[State],C213,Master_query[Per_Capita_Income])</f>
        <v>136042.75</v>
      </c>
      <c r="E213">
        <f>AVERAGEIF(Master_query[State],C213,Master_query[4W EV Penetration])</f>
        <v>2.5225000000000001E-2</v>
      </c>
    </row>
    <row r="214" spans="3:5" x14ac:dyDescent="0.2">
      <c r="C214" t="s">
        <v>59</v>
      </c>
      <c r="D214">
        <f>AVERAGEIF(Master_query[State],C214,Master_query[Per_Capita_Income])</f>
        <v>236941.25</v>
      </c>
      <c r="E214">
        <f>AVERAGEIF(Master_query[State],C214,Master_query[4W EV Penetration])</f>
        <v>6.4999999999999997E-3</v>
      </c>
    </row>
    <row r="215" spans="3:5" x14ac:dyDescent="0.2">
      <c r="C215" t="s">
        <v>60</v>
      </c>
      <c r="D215">
        <f>AVERAGEIF(Master_query[State],C215,Master_query[Per_Capita_Income])</f>
        <v>174769.75</v>
      </c>
      <c r="E215">
        <f>AVERAGEIF(Master_query[State],C215,Master_query[4W EV Penetration])</f>
        <v>8.5500000000000003E-3</v>
      </c>
    </row>
    <row r="216" spans="3:5" x14ac:dyDescent="0.2">
      <c r="C216" t="s">
        <v>61</v>
      </c>
      <c r="D216">
        <f>AVERAGEIF(Master_query[State],C216,Master_query[Per_Capita_Income])</f>
        <v>141900.5</v>
      </c>
      <c r="E216">
        <f>AVERAGEIF(Master_query[State],C216,Master_query[4W EV Penetration])</f>
        <v>2.53E-2</v>
      </c>
    </row>
    <row r="217" spans="3:5" x14ac:dyDescent="0.2">
      <c r="C217" t="s">
        <v>62</v>
      </c>
      <c r="D217">
        <f>AVERAGEIF(Master_query[State],C217,Master_query[Per_Capita_Income])</f>
        <v>497443</v>
      </c>
      <c r="E217">
        <f>AVERAGEIF(Master_query[State],C217,Master_query[4W EV Penetration])</f>
        <v>5.9999999999999995E-4</v>
      </c>
    </row>
    <row r="218" spans="3:5" x14ac:dyDescent="0.2">
      <c r="C218" t="s">
        <v>63</v>
      </c>
      <c r="D218">
        <f>AVERAGEIF(Master_query[State],C218,Master_query[Per_Capita_Income])</f>
        <v>261247.25</v>
      </c>
      <c r="E218">
        <f>AVERAGEIF(Master_query[State],C218,Master_query[4W EV Penetration])</f>
        <v>2.4E-2</v>
      </c>
    </row>
    <row r="219" spans="3:5" x14ac:dyDescent="0.2">
      <c r="C219" t="s">
        <v>64</v>
      </c>
      <c r="D219">
        <f>AVERAGEIF(Master_query[State],C219,Master_query[Per_Capita_Income])</f>
        <v>290955</v>
      </c>
      <c r="E219">
        <f>AVERAGEIF(Master_query[State],C219,Master_query[4W EV Penetration])</f>
        <v>4.0925000000000003E-2</v>
      </c>
    </row>
    <row r="220" spans="3:5" x14ac:dyDescent="0.2">
      <c r="C220" t="s">
        <v>65</v>
      </c>
      <c r="D220">
        <f>AVERAGEIF(Master_query[State],C220,Master_query[Per_Capita_Income])</f>
        <v>147630</v>
      </c>
      <c r="E220">
        <f>AVERAGEIF(Master_query[State],C220,Master_query[4W EV Penetration])</f>
        <v>2.8500000000000001E-3</v>
      </c>
    </row>
    <row r="221" spans="3:5" x14ac:dyDescent="0.2">
      <c r="C221" t="s">
        <v>66</v>
      </c>
      <c r="D221">
        <f>AVERAGEIF(Master_query[State],C221,Master_query[Per_Capita_Income])</f>
        <v>78323.25</v>
      </c>
      <c r="E221">
        <f>AVERAGEIF(Master_query[State],C221,Master_query[4W EV Penetration])</f>
        <v>1.0024999999999999E-2</v>
      </c>
    </row>
    <row r="222" spans="3:5" x14ac:dyDescent="0.2">
      <c r="C222" t="s">
        <v>67</v>
      </c>
      <c r="D222">
        <f>AVERAGEIF(Master_query[State],C222,Master_query[Per_Capita_Income])</f>
        <v>217741.75</v>
      </c>
      <c r="E222">
        <f>AVERAGEIF(Master_query[State],C222,Master_query[4W EV Penetration])</f>
        <v>1.1075000000000002E-2</v>
      </c>
    </row>
    <row r="223" spans="3:5" x14ac:dyDescent="0.2">
      <c r="C223" t="s">
        <v>68</v>
      </c>
      <c r="D223">
        <f>AVERAGEIF(Master_query[State],C223,Master_query[Per_Capita_Income])</f>
        <v>130143.5</v>
      </c>
      <c r="E223">
        <f>AVERAGEIF(Master_query[State],C223,Master_query[4W EV Penetration])</f>
        <v>2.2124999999999999E-2</v>
      </c>
    </row>
    <row r="229" spans="1:4" x14ac:dyDescent="0.2">
      <c r="A229" s="17" t="s">
        <v>91</v>
      </c>
      <c r="B229" s="18"/>
      <c r="C229" s="18"/>
      <c r="D229" s="18"/>
    </row>
    <row r="230" spans="1:4" x14ac:dyDescent="0.2">
      <c r="A230" s="18"/>
      <c r="B230" s="18"/>
      <c r="C230" s="18"/>
      <c r="D230" s="18"/>
    </row>
    <row r="236" spans="1:4" x14ac:dyDescent="0.2">
      <c r="C236" s="2" t="s">
        <v>72</v>
      </c>
      <c r="D236" t="s">
        <v>73</v>
      </c>
    </row>
    <row r="237" spans="1:4" x14ac:dyDescent="0.2">
      <c r="C237" s="3" t="s">
        <v>22</v>
      </c>
      <c r="D237" s="22">
        <v>331463</v>
      </c>
    </row>
    <row r="238" spans="1:4" x14ac:dyDescent="0.2">
      <c r="C238" s="3" t="s">
        <v>31</v>
      </c>
      <c r="D238" s="22">
        <v>1024543</v>
      </c>
    </row>
    <row r="239" spans="1:4" x14ac:dyDescent="0.2">
      <c r="C239" s="3" t="s">
        <v>34</v>
      </c>
      <c r="D239" s="22">
        <v>1524991</v>
      </c>
    </row>
    <row r="240" spans="1:4" x14ac:dyDescent="0.2">
      <c r="C240" s="3" t="s">
        <v>39</v>
      </c>
      <c r="D240" s="22">
        <v>1181575</v>
      </c>
    </row>
    <row r="241" spans="1:4" x14ac:dyDescent="0.2">
      <c r="C241" s="3" t="s">
        <v>71</v>
      </c>
      <c r="D241" s="22">
        <v>4062572</v>
      </c>
    </row>
    <row r="246" spans="1:4" x14ac:dyDescent="0.2">
      <c r="A246" s="17" t="s">
        <v>114</v>
      </c>
      <c r="B246" s="18"/>
      <c r="C246" s="18"/>
      <c r="D246" s="18"/>
    </row>
    <row r="247" spans="1:4" x14ac:dyDescent="0.2">
      <c r="A247" s="18"/>
      <c r="B247" s="18"/>
      <c r="C247" s="18"/>
      <c r="D247" s="18"/>
    </row>
    <row r="253" spans="1:4" x14ac:dyDescent="0.2">
      <c r="C253" s="2" t="s">
        <v>72</v>
      </c>
      <c r="D253" t="s">
        <v>74</v>
      </c>
    </row>
    <row r="254" spans="1:4" x14ac:dyDescent="0.2">
      <c r="C254" s="3" t="s">
        <v>22</v>
      </c>
      <c r="D254" s="22">
        <v>26.455185185185186</v>
      </c>
    </row>
    <row r="255" spans="1:4" x14ac:dyDescent="0.2">
      <c r="C255" s="3" t="s">
        <v>31</v>
      </c>
      <c r="D255" s="22">
        <v>25.562857142857137</v>
      </c>
    </row>
    <row r="256" spans="1:4" x14ac:dyDescent="0.2">
      <c r="C256" s="3" t="s">
        <v>34</v>
      </c>
      <c r="D256" s="22">
        <v>18.263999999999999</v>
      </c>
    </row>
    <row r="257" spans="3:4" x14ac:dyDescent="0.2">
      <c r="C257" s="3" t="s">
        <v>39</v>
      </c>
      <c r="D257" s="22">
        <v>11.799999999999999</v>
      </c>
    </row>
    <row r="258" spans="3:4" x14ac:dyDescent="0.2">
      <c r="C258" s="3" t="s">
        <v>71</v>
      </c>
      <c r="D258" s="22">
        <v>20.062457627118643</v>
      </c>
    </row>
  </sheetData>
  <mergeCells count="11">
    <mergeCell ref="A166:D167"/>
    <mergeCell ref="A184:D185"/>
    <mergeCell ref="A229:D230"/>
    <mergeCell ref="A246:D247"/>
    <mergeCell ref="A133:D134"/>
    <mergeCell ref="A117:D118"/>
    <mergeCell ref="A77:D78"/>
    <mergeCell ref="A2:D3"/>
    <mergeCell ref="A45:D46"/>
    <mergeCell ref="W112:Z113"/>
    <mergeCell ref="A64:D65"/>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823AA-C3CD-4966-822F-93FC227D3A48}">
  <sheetPr codeName="Sheet4"/>
  <dimension ref="A1"/>
  <sheetViews>
    <sheetView showGridLines="0" showRowColHeaders="0" tabSelected="1" zoomScale="85" zoomScaleNormal="85" workbookViewId="0">
      <selection activeCell="L47" sqref="L47"/>
    </sheetView>
  </sheetViews>
  <sheetFormatPr defaultRowHeight="14.25" x14ac:dyDescent="0.2"/>
  <sheetData/>
  <pageMargins left="0.7" right="0.7" top="0.75" bottom="0.75" header="0.3" footer="0.3"/>
  <pageSetup orientation="landscape" horizontalDpi="4294967293" verticalDpi="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789F4-7F3E-45E1-85F2-904EE58FFF54}">
  <sheetPr codeName="Sheet5"/>
  <dimension ref="A2:F31"/>
  <sheetViews>
    <sheetView zoomScale="85" zoomScaleNormal="85" workbookViewId="0">
      <selection activeCell="C16" sqref="C16"/>
    </sheetView>
  </sheetViews>
  <sheetFormatPr defaultRowHeight="14.25" x14ac:dyDescent="0.2"/>
  <cols>
    <col min="4" max="4" width="12.5" customWidth="1"/>
    <col min="5" max="5" width="71.25" customWidth="1"/>
    <col min="6" max="6" width="38.375" customWidth="1"/>
  </cols>
  <sheetData>
    <row r="2" spans="1:6" ht="31.5" customHeight="1" x14ac:dyDescent="0.2">
      <c r="A2" s="21" t="s">
        <v>125</v>
      </c>
      <c r="B2" s="21"/>
      <c r="C2" s="21"/>
      <c r="D2" s="21"/>
      <c r="E2" s="21"/>
    </row>
    <row r="3" spans="1:6" ht="15" customHeight="1" x14ac:dyDescent="0.2">
      <c r="A3" s="21"/>
      <c r="B3" s="21"/>
      <c r="C3" s="21"/>
      <c r="D3" s="21"/>
      <c r="E3" s="21"/>
    </row>
    <row r="7" spans="1:6" ht="27" x14ac:dyDescent="0.35">
      <c r="D7" s="12" t="s">
        <v>97</v>
      </c>
      <c r="E7" s="12" t="s">
        <v>76</v>
      </c>
      <c r="F7" s="12" t="s">
        <v>84</v>
      </c>
    </row>
    <row r="8" spans="1:6" ht="15" x14ac:dyDescent="0.25">
      <c r="D8">
        <v>1</v>
      </c>
      <c r="E8" t="s">
        <v>92</v>
      </c>
      <c r="F8" s="11">
        <f>CORREL(Master_query[3W EV Sales],Master_query[Per_Capita_Income])</f>
        <v>-0.21208443740857619</v>
      </c>
    </row>
    <row r="9" spans="1:6" ht="15" x14ac:dyDescent="0.25">
      <c r="D9">
        <f>SUM(D8+1)</f>
        <v>2</v>
      </c>
      <c r="E9" t="s">
        <v>93</v>
      </c>
      <c r="F9" s="11">
        <f>CORREL(Master_query[4W EV Penetration],Master_query[Demand Not Met (%)])</f>
        <v>-8.9723812539631451E-2</v>
      </c>
    </row>
    <row r="10" spans="1:6" ht="15" x14ac:dyDescent="0.25">
      <c r="D10">
        <f t="shared" ref="D10:D19" si="0">SUM(D9+1)</f>
        <v>3</v>
      </c>
      <c r="E10" t="s">
        <v>94</v>
      </c>
      <c r="F10" s="11">
        <f>CORREL(Master_query[EV_Readiness_Score],Master_query[4W EV Penetration])</f>
        <v>0.53807826510595436</v>
      </c>
    </row>
    <row r="11" spans="1:6" ht="15" x14ac:dyDescent="0.25">
      <c r="D11">
        <f t="shared" si="0"/>
        <v>4</v>
      </c>
      <c r="E11" t="s">
        <v>95</v>
      </c>
      <c r="F11" s="11">
        <f>AVERAGEIFS(Master_query[4W EV Sales],Master_query[Income_Category],"High",Master_query[Year],"2024")</f>
        <v>5334.25</v>
      </c>
    </row>
    <row r="12" spans="1:6" ht="15" x14ac:dyDescent="0.25">
      <c r="D12">
        <f t="shared" si="0"/>
        <v>5</v>
      </c>
      <c r="E12" t="s">
        <v>96</v>
      </c>
      <c r="F12" s="11">
        <f>AVERAGEIFS(Master_query[4W EV Sales],Master_query[Income_Category],"Low",Master_query[Year],"2024")</f>
        <v>1778.1</v>
      </c>
    </row>
    <row r="13" spans="1:6" ht="15" x14ac:dyDescent="0.25">
      <c r="D13">
        <f t="shared" si="0"/>
        <v>6</v>
      </c>
      <c r="E13" t="s">
        <v>77</v>
      </c>
      <c r="F13" s="11">
        <f>AVERAGEIFS(Master_query[4W EV Sales], Master_query[Power_Status],"Stable",Master_query[Year],2024)</f>
        <v>3405.3157894736842</v>
      </c>
    </row>
    <row r="14" spans="1:6" ht="15" x14ac:dyDescent="0.25">
      <c r="D14">
        <f t="shared" si="0"/>
        <v>7</v>
      </c>
      <c r="E14" t="s">
        <v>78</v>
      </c>
      <c r="F14" s="11">
        <f>AVERAGEIFS(Master_query[4W EV Sales],Master_query[Power_Status],"High Risk",Master_query[Year],"2024")</f>
        <v>3760.8</v>
      </c>
    </row>
    <row r="15" spans="1:6" ht="15" x14ac:dyDescent="0.25">
      <c r="D15">
        <f t="shared" si="0"/>
        <v>8</v>
      </c>
      <c r="E15" t="s">
        <v>79</v>
      </c>
      <c r="F15" s="11">
        <f>COUNTIFS(Master_query[Buyer_Type], "Necessity",Master_query[Year],2024)</f>
        <v>13</v>
      </c>
    </row>
    <row r="16" spans="1:6" ht="15" x14ac:dyDescent="0.25">
      <c r="D16">
        <f>SUM(D15+1)</f>
        <v>9</v>
      </c>
      <c r="E16" t="s">
        <v>80</v>
      </c>
      <c r="F16" s="11">
        <f>COUNTIFS(Master_query[Buyer_Type], "Luxury",Master_query[Year],2024)</f>
        <v>18</v>
      </c>
    </row>
    <row r="17" spans="4:6" ht="15" x14ac:dyDescent="0.25">
      <c r="D17">
        <f t="shared" si="0"/>
        <v>10</v>
      </c>
      <c r="E17" t="s">
        <v>81</v>
      </c>
      <c r="F17" s="11">
        <f>SUMIFS(Master_query[3W EV Sales],Master_query[Year],2024,Master_query[Per_Capita_Income],"&lt;100000")</f>
        <v>150684</v>
      </c>
    </row>
    <row r="18" spans="4:6" ht="15" x14ac:dyDescent="0.25">
      <c r="D18">
        <f t="shared" si="0"/>
        <v>11</v>
      </c>
      <c r="E18" t="s">
        <v>83</v>
      </c>
      <c r="F18" s="11" t="str">
        <f>_xlfn.XLOOKUP(MAX(Master_query[Per_Capita_Income]),Master_query[Per_Capita_Income],Master_query[State])</f>
        <v>Sikkim</v>
      </c>
    </row>
    <row r="19" spans="4:6" ht="15" x14ac:dyDescent="0.25">
      <c r="D19">
        <f t="shared" si="0"/>
        <v>12</v>
      </c>
      <c r="E19" t="s">
        <v>82</v>
      </c>
      <c r="F19" s="11">
        <f>LARGE(Master_query[Per_Capita_Income],1)</f>
        <v>587743</v>
      </c>
    </row>
    <row r="28" spans="4:6" ht="20.25" x14ac:dyDescent="0.3">
      <c r="E28" s="14"/>
    </row>
    <row r="29" spans="4:6" ht="20.25" x14ac:dyDescent="0.3">
      <c r="E29" s="13"/>
    </row>
    <row r="30" spans="4:6" ht="20.25" x14ac:dyDescent="0.3">
      <c r="E30" s="13"/>
    </row>
    <row r="31" spans="4:6" ht="20.25" x14ac:dyDescent="0.3">
      <c r="E31" s="13"/>
    </row>
  </sheetData>
  <mergeCells count="1">
    <mergeCell ref="A2:E3"/>
  </mergeCells>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F09290-89BE-41BF-9A53-51A3826498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Raw_data</vt:lpstr>
      <vt:lpstr>Pivot_Tables</vt:lpstr>
      <vt:lpstr>Dashboards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SAHIB HUSSAIN</dc:creator>
  <cp:lastModifiedBy>Sahib  Hussain</cp:lastModifiedBy>
  <dcterms:created xsi:type="dcterms:W3CDTF">2015-06-05T18:17:20Z</dcterms:created>
  <dcterms:modified xsi:type="dcterms:W3CDTF">2026-07-02T13:36:04Z</dcterms:modified>
</cp:coreProperties>
</file>